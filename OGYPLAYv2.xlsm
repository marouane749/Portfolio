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6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4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P:\"/>
    </mc:Choice>
  </mc:AlternateContent>
  <xr:revisionPtr revIDLastSave="0" documentId="13_ncr:1_{2ECDA54C-EF3F-44CE-BA80-5114EAADDC94}" xr6:coauthVersionLast="36" xr6:coauthVersionMax="36" xr10:uidLastSave="{00000000-0000-0000-0000-000000000000}"/>
  <bookViews>
    <workbookView xWindow="0" yWindow="0" windowWidth="25200" windowHeight="11775" activeTab="1" xr2:uid="{00000000-000D-0000-FFFF-FFFF00000000}"/>
  </bookViews>
  <sheets>
    <sheet name="Calcul" sheetId="1" r:id="rId1"/>
    <sheet name="TableauDeBord" sheetId="2" r:id="rId2"/>
    <sheet name="Data" sheetId="3" r:id="rId3"/>
  </sheets>
  <calcPr calcId="191029"/>
  <extLst>
    <ext uri="GoogleSheetsCustomDataVersion1">
      <go:sheetsCustomData xmlns:go="http://customooxmlschemas.google.com/" r:id="rId7" roundtripDataSignature="AMtx7miqfYsJL7Ra/+aSqX18KMj15qi4Gw=="/>
    </ext>
  </extLst>
</workbook>
</file>

<file path=xl/calcChain.xml><?xml version="1.0" encoding="utf-8"?>
<calcChain xmlns="http://schemas.openxmlformats.org/spreadsheetml/2006/main">
  <c r="J33" i="1" l="1"/>
  <c r="J40" i="1" l="1"/>
  <c r="J42" i="1"/>
  <c r="J41" i="1"/>
  <c r="J36" i="1"/>
  <c r="J35" i="1"/>
  <c r="J43" i="1" s="1"/>
  <c r="J34" i="1"/>
  <c r="J44" i="1" l="1"/>
  <c r="J37" i="1"/>
  <c r="L35" i="2" s="1"/>
  <c r="D5" i="1"/>
  <c r="D6" i="1"/>
  <c r="G6" i="1"/>
  <c r="B4" i="1" s="1"/>
  <c r="D4" i="1" s="1"/>
  <c r="D7" i="1"/>
  <c r="D8" i="1"/>
  <c r="C9" i="1"/>
  <c r="D31" i="2" s="1"/>
  <c r="C13" i="1"/>
  <c r="C14" i="1"/>
  <c r="C15" i="1"/>
  <c r="C16" i="1"/>
  <c r="B17" i="1"/>
  <c r="I21" i="1" a="1"/>
  <c r="I21" i="1" s="1"/>
  <c r="I24" i="1" s="1"/>
  <c r="I22" i="1"/>
  <c r="I23" i="1"/>
  <c r="S59" i="3"/>
  <c r="S57" i="3"/>
  <c r="Q26" i="3"/>
  <c r="Q25" i="3"/>
  <c r="D18" i="3"/>
  <c r="C18" i="3"/>
  <c r="B18" i="3"/>
  <c r="B44" i="1"/>
  <c r="D46" i="1" s="1"/>
  <c r="B40" i="1"/>
  <c r="D43" i="1" s="1"/>
  <c r="G43" i="1" s="1"/>
  <c r="B38" i="1"/>
  <c r="D39" i="1" s="1"/>
  <c r="G39" i="1" s="1"/>
  <c r="B36" i="1"/>
  <c r="D36" i="1" s="1"/>
  <c r="B34" i="1"/>
  <c r="D34" i="1" s="1"/>
  <c r="M10" i="1" l="1"/>
  <c r="B3" i="1"/>
  <c r="D3" i="1" s="1"/>
  <c r="M8" i="1"/>
  <c r="R5" i="1"/>
  <c r="R9" i="1" s="1"/>
  <c r="F27" i="2" s="1"/>
  <c r="B2" i="1"/>
  <c r="D2" i="1" s="1"/>
  <c r="D38" i="1"/>
  <c r="G38" i="1" s="1"/>
  <c r="C17" i="1"/>
  <c r="F38" i="1"/>
  <c r="F36" i="1"/>
  <c r="F44" i="1"/>
  <c r="D37" i="1"/>
  <c r="G37" i="1" s="1"/>
  <c r="Q27" i="1"/>
  <c r="L19" i="2" s="1"/>
  <c r="R12" i="1"/>
  <c r="G34" i="1"/>
  <c r="G36" i="1"/>
  <c r="R13" i="1"/>
  <c r="G46" i="1"/>
  <c r="F34" i="1"/>
  <c r="S5" i="1"/>
  <c r="S9" i="1" s="1"/>
  <c r="H27" i="2" s="1"/>
  <c r="D40" i="1"/>
  <c r="D47" i="1"/>
  <c r="G47" i="1" s="1"/>
  <c r="T5" i="1"/>
  <c r="T9" i="1" s="1"/>
  <c r="J27" i="2" s="1"/>
  <c r="D35" i="1"/>
  <c r="G35" i="1" s="1"/>
  <c r="F40" i="1"/>
  <c r="D44" i="1"/>
  <c r="G44" i="1" s="1"/>
  <c r="D41" i="1"/>
  <c r="G41" i="1" s="1"/>
  <c r="D42" i="1"/>
  <c r="G42" i="1" s="1"/>
  <c r="D45" i="1"/>
  <c r="Q24" i="1" l="1"/>
  <c r="E21" i="1" s="1"/>
  <c r="H21" i="1" s="1"/>
  <c r="R15" i="1"/>
  <c r="M7" i="1"/>
  <c r="D9" i="1"/>
  <c r="H2" i="1" s="1"/>
  <c r="Q26" i="1"/>
  <c r="J19" i="2" s="1"/>
  <c r="R17" i="1"/>
  <c r="G40" i="1"/>
  <c r="Q23" i="1" s="1"/>
  <c r="E23" i="1" s="1"/>
  <c r="H23" i="1" s="1"/>
  <c r="F48" i="1"/>
  <c r="S27" i="1" s="1"/>
  <c r="P19" i="2" s="1"/>
  <c r="R16" i="1"/>
  <c r="G45" i="1"/>
  <c r="R14" i="1"/>
  <c r="Q25" i="1" l="1"/>
  <c r="E22" i="1" s="1"/>
  <c r="H22" i="1" s="1"/>
  <c r="H24" i="1" s="1"/>
  <c r="F19" i="2"/>
  <c r="Q15" i="1"/>
  <c r="S15" i="1" s="1"/>
  <c r="F23" i="2" s="1"/>
  <c r="F31" i="2"/>
  <c r="M9" i="1" a="1"/>
  <c r="Q12" i="1"/>
  <c r="S12" i="1" s="1"/>
  <c r="D23" i="2" s="1"/>
  <c r="Q13" i="1"/>
  <c r="S13" i="1" s="1"/>
  <c r="N23" i="2" s="1"/>
  <c r="D19" i="2"/>
  <c r="Q17" i="1"/>
  <c r="S17" i="1" s="1"/>
  <c r="H23" i="2" s="1"/>
  <c r="Q5" i="1" l="1"/>
  <c r="Q9" i="1" s="1"/>
  <c r="D27" i="2" s="1"/>
  <c r="M9" i="1"/>
  <c r="S26" i="1" s="1"/>
  <c r="Q16" i="1"/>
  <c r="S16" i="1" s="1"/>
  <c r="L23" i="2" s="1"/>
  <c r="Q14" i="1"/>
  <c r="S14" i="1" s="1"/>
  <c r="J23" i="2" s="1"/>
  <c r="H19" i="2"/>
  <c r="O19" i="2" l="1"/>
  <c r="U9" i="1"/>
  <c r="L27" i="2" s="1"/>
  <c r="S28" i="1" l="1"/>
  <c r="O39" i="2" s="1"/>
</calcChain>
</file>

<file path=xl/sharedStrings.xml><?xml version="1.0" encoding="utf-8"?>
<sst xmlns="http://schemas.openxmlformats.org/spreadsheetml/2006/main" count="265" uniqueCount="143">
  <si>
    <t>Postes</t>
  </si>
  <si>
    <t>Salaire brut</t>
  </si>
  <si>
    <t>effectif</t>
  </si>
  <si>
    <t>montant à verser</t>
  </si>
  <si>
    <t>Colonne1</t>
  </si>
  <si>
    <t>CoutMensuel SALAIRE + MACHINES</t>
  </si>
  <si>
    <t>agent de maîtrise</t>
  </si>
  <si>
    <t>Approx</t>
  </si>
  <si>
    <t>TABLEAU MACHINES</t>
  </si>
  <si>
    <t>Assistant commerciales</t>
  </si>
  <si>
    <t>cadre dirigeant</t>
  </si>
  <si>
    <t>Colonne2</t>
  </si>
  <si>
    <t xml:space="preserve">Cadre moyen </t>
  </si>
  <si>
    <t>Augmentation</t>
  </si>
  <si>
    <t>Brut</t>
  </si>
  <si>
    <t>Commerciales</t>
  </si>
  <si>
    <t>Employé</t>
  </si>
  <si>
    <t>cout</t>
  </si>
  <si>
    <t>Ouvrier</t>
  </si>
  <si>
    <t>salarier</t>
  </si>
  <si>
    <t>Totale</t>
  </si>
  <si>
    <t>machines</t>
  </si>
  <si>
    <t>produit</t>
  </si>
  <si>
    <t>Machine</t>
  </si>
  <si>
    <t>Nombre</t>
  </si>
  <si>
    <t>PrixUtilisation</t>
  </si>
  <si>
    <t>nombre de machines</t>
  </si>
  <si>
    <t>Decoupe</t>
  </si>
  <si>
    <t>decoupe</t>
  </si>
  <si>
    <t>Broyage/Mixage</t>
  </si>
  <si>
    <t>broyage</t>
  </si>
  <si>
    <t>Cuisson</t>
  </si>
  <si>
    <t>cuisson</t>
  </si>
  <si>
    <t xml:space="preserve">Embalage </t>
  </si>
  <si>
    <t>embalage</t>
  </si>
  <si>
    <t>Total</t>
  </si>
  <si>
    <t>nb de machine utiliser</t>
  </si>
  <si>
    <t>DEPENSE / PERTES</t>
  </si>
  <si>
    <t xml:space="preserve">Modifier la qte </t>
  </si>
  <si>
    <t>cout expres</t>
  </si>
  <si>
    <t>cout normal</t>
  </si>
  <si>
    <t>commande expres</t>
  </si>
  <si>
    <t>commande normal</t>
  </si>
  <si>
    <t>poulet</t>
  </si>
  <si>
    <t>utilisation machine</t>
  </si>
  <si>
    <t>Broyage</t>
  </si>
  <si>
    <t>Embalage</t>
  </si>
  <si>
    <t>canard</t>
  </si>
  <si>
    <t>Capacité Utilisation</t>
  </si>
  <si>
    <t>porc</t>
  </si>
  <si>
    <t>total</t>
  </si>
  <si>
    <t>quantiter acheter (kg)</t>
  </si>
  <si>
    <t>quantiter nessesair (kg)</t>
  </si>
  <si>
    <t>pertes</t>
  </si>
  <si>
    <t>cuisse</t>
  </si>
  <si>
    <t>muscles</t>
  </si>
  <si>
    <t>poitrail de canard</t>
  </si>
  <si>
    <t>chair de poulet</t>
  </si>
  <si>
    <t>chair de canard</t>
  </si>
  <si>
    <t>chair de porc</t>
  </si>
  <si>
    <t>a commander</t>
  </si>
  <si>
    <t>Max A commander :</t>
  </si>
  <si>
    <t>Unité</t>
  </si>
  <si>
    <t>Porc</t>
  </si>
  <si>
    <t>Poulet</t>
  </si>
  <si>
    <t>Canard</t>
  </si>
  <si>
    <t>Plast</t>
  </si>
  <si>
    <t>depence</t>
  </si>
  <si>
    <t>Fer</t>
  </si>
  <si>
    <t>gain</t>
  </si>
  <si>
    <t>benefice</t>
  </si>
  <si>
    <t>Colonne3</t>
  </si>
  <si>
    <t>Colonne4</t>
  </si>
  <si>
    <t>Colonne5</t>
  </si>
  <si>
    <t>Colonne6</t>
  </si>
  <si>
    <t>Colonne7</t>
  </si>
  <si>
    <t>PF</t>
  </si>
  <si>
    <t>objectif de production (unité)</t>
  </si>
  <si>
    <t>PI requises</t>
  </si>
  <si>
    <t>Prix de vente prévu</t>
  </si>
  <si>
    <t>QteVoulu</t>
  </si>
  <si>
    <t>nom</t>
  </si>
  <si>
    <t>QteKg</t>
  </si>
  <si>
    <t>Besoin MP</t>
  </si>
  <si>
    <t>cuisses de poulet</t>
  </si>
  <si>
    <t>plastique</t>
  </si>
  <si>
    <t>dés de jambon</t>
  </si>
  <si>
    <t>paté de porc</t>
  </si>
  <si>
    <t>chair porc</t>
  </si>
  <si>
    <t>fer</t>
  </si>
  <si>
    <t>terrine de volaille</t>
  </si>
  <si>
    <t>chair poulet</t>
  </si>
  <si>
    <t>chair canard</t>
  </si>
  <si>
    <t>mousse de canard</t>
  </si>
  <si>
    <t>TABLEAU DE BORD</t>
  </si>
  <si>
    <t>Choix de ventes</t>
  </si>
  <si>
    <t>Cuisse de poulet</t>
  </si>
  <si>
    <t>Dés de jambon</t>
  </si>
  <si>
    <t>Paté de porc</t>
  </si>
  <si>
    <t>Terrine Volaile</t>
  </si>
  <si>
    <t>Mousse Canard</t>
  </si>
  <si>
    <t>MP a Commander</t>
  </si>
  <si>
    <t>Plastic</t>
  </si>
  <si>
    <t>DEPENSES</t>
  </si>
  <si>
    <t>Gain</t>
  </si>
  <si>
    <t>Pertes</t>
  </si>
  <si>
    <t>ChairPoulet</t>
  </si>
  <si>
    <t>ChairPorc</t>
  </si>
  <si>
    <t>poitrailleCanard</t>
  </si>
  <si>
    <t>ChairCanard</t>
  </si>
  <si>
    <t>muscle</t>
  </si>
  <si>
    <t>Utilisation Machine</t>
  </si>
  <si>
    <t>Employés</t>
  </si>
  <si>
    <t>Effectif</t>
  </si>
  <si>
    <t>Salaire</t>
  </si>
  <si>
    <t>BENEFICES</t>
  </si>
  <si>
    <t>status</t>
  </si>
  <si>
    <t>dirigeant</t>
  </si>
  <si>
    <t>employée</t>
  </si>
  <si>
    <t>assistant comerciaux</t>
  </si>
  <si>
    <t>commmerciaux</t>
  </si>
  <si>
    <t>cadre moyen</t>
  </si>
  <si>
    <t>agent maitrise</t>
  </si>
  <si>
    <t>ouvrier</t>
  </si>
  <si>
    <t>poitrail</t>
  </si>
  <si>
    <t>muscle porc</t>
  </si>
  <si>
    <t>perts</t>
  </si>
  <si>
    <t>produit fini</t>
  </si>
  <si>
    <t>terrine de vollaie</t>
  </si>
  <si>
    <t>pate de porc</t>
  </si>
  <si>
    <t>cuisse de poulet</t>
  </si>
  <si>
    <t>des de jambon</t>
  </si>
  <si>
    <t>plastic</t>
  </si>
  <si>
    <t>boillage</t>
  </si>
  <si>
    <t>emballage</t>
  </si>
  <si>
    <t>machines prix</t>
  </si>
  <si>
    <t>Achat Machines</t>
  </si>
  <si>
    <t>prix achat</t>
  </si>
  <si>
    <t>autre</t>
  </si>
  <si>
    <t>machine</t>
  </si>
  <si>
    <t>nb ouvrier nessesair</t>
  </si>
  <si>
    <t>nb ouvrier unitair</t>
  </si>
  <si>
    <t>total emboche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</si>
</sst>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_-* #,##0\ _€_-;\-* #,##0\ _€_-;_-* &quot;-&quot;??\ _€_-;_-@"/>
  </numFmts>
  <fonts count="13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4"/>
      <color theme="1"/>
      <name val="Calibri"/>
      <family val="2"/>
    </font>
    <font>
      <b/>
      <sz val="12"/>
      <color theme="1"/>
      <name val="Calibri"/>
      <family val="2"/>
    </font>
    <font>
      <b/>
      <sz val="11"/>
      <color theme="1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&quot;Arial Rounded MT Bold&quot;"/>
    </font>
    <font>
      <b/>
      <sz val="11"/>
      <color rgb="FF9C0006"/>
      <name val="Calibri"/>
      <family val="2"/>
    </font>
    <font>
      <b/>
      <sz val="14"/>
      <color rgb="FF000000"/>
      <name val="Calibri"/>
      <family val="2"/>
    </font>
    <font>
      <sz val="8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BFBFBF"/>
        <bgColor rgb="FFBFBFBF"/>
      </patternFill>
    </fill>
    <fill>
      <patternFill patternType="solid">
        <fgColor rgb="FFAEABAB"/>
        <bgColor rgb="FFAEABAB"/>
      </patternFill>
    </fill>
    <fill>
      <patternFill patternType="solid">
        <fgColor rgb="FFB4C6E7"/>
        <bgColor rgb="FFB4C6E7"/>
      </patternFill>
    </fill>
    <fill>
      <patternFill patternType="solid">
        <fgColor rgb="FF8EAADB"/>
        <bgColor rgb="FF8EAADB"/>
      </patternFill>
    </fill>
    <fill>
      <patternFill patternType="solid">
        <fgColor rgb="FFFEF2CB"/>
        <bgColor rgb="FFFEF2CB"/>
      </patternFill>
    </fill>
    <fill>
      <patternFill patternType="solid">
        <fgColor rgb="FFFFE699"/>
        <bgColor rgb="FFFFE699"/>
      </patternFill>
    </fill>
    <fill>
      <patternFill patternType="solid">
        <fgColor rgb="FFF4B084"/>
        <bgColor rgb="FFF4B084"/>
      </patternFill>
    </fill>
    <fill>
      <patternFill patternType="solid">
        <fgColor rgb="FFBDD7EE"/>
        <bgColor rgb="FFBDD7EE"/>
      </patternFill>
    </fill>
    <fill>
      <patternFill patternType="solid">
        <fgColor rgb="FFFFC7CE"/>
        <bgColor rgb="FFFFC7CE"/>
      </patternFill>
    </fill>
    <fill>
      <patternFill patternType="solid">
        <fgColor rgb="FFD8D8D8"/>
        <bgColor rgb="FFD8D8D8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59999389629810485"/>
        <bgColor rgb="FFB4C6E7"/>
      </patternFill>
    </fill>
    <fill>
      <patternFill patternType="solid">
        <fgColor theme="7" tint="0.59999389629810485"/>
        <bgColor indexed="64"/>
      </patternFill>
    </fill>
  </fills>
  <borders count="17">
    <border>
      <left/>
      <right/>
      <top/>
      <bottom/>
      <diagonal/>
    </border>
    <border>
      <left/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/>
      <top/>
      <bottom style="medium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2">
    <xf numFmtId="0" fontId="0" fillId="0" borderId="0" xfId="0" applyFont="1" applyAlignment="1"/>
    <xf numFmtId="0" fontId="3" fillId="0" borderId="0" xfId="0" applyFont="1"/>
    <xf numFmtId="0" fontId="4" fillId="2" borderId="1" xfId="0" applyFont="1" applyFill="1" applyBorder="1"/>
    <xf numFmtId="0" fontId="4" fillId="3" borderId="1" xfId="0" applyFont="1" applyFill="1" applyBorder="1"/>
    <xf numFmtId="0" fontId="3" fillId="0" borderId="0" xfId="0" applyFont="1"/>
    <xf numFmtId="0" fontId="5" fillId="3" borderId="1" xfId="0" applyFont="1" applyFill="1" applyBorder="1"/>
    <xf numFmtId="164" fontId="4" fillId="0" borderId="0" xfId="0" applyNumberFormat="1" applyFont="1"/>
    <xf numFmtId="10" fontId="4" fillId="0" borderId="0" xfId="0" applyNumberFormat="1" applyFont="1"/>
    <xf numFmtId="0" fontId="4" fillId="0" borderId="0" xfId="0" applyFont="1"/>
    <xf numFmtId="0" fontId="4" fillId="4" borderId="1" xfId="0" applyFont="1" applyFill="1" applyBorder="1"/>
    <xf numFmtId="164" fontId="4" fillId="4" borderId="1" xfId="0" applyNumberFormat="1" applyFont="1" applyFill="1" applyBorder="1"/>
    <xf numFmtId="0" fontId="6" fillId="3" borderId="1" xfId="0" applyFont="1" applyFill="1" applyBorder="1"/>
    <xf numFmtId="0" fontId="4" fillId="0" borderId="0" xfId="0" applyFont="1"/>
    <xf numFmtId="0" fontId="4" fillId="5" borderId="1" xfId="0" applyFont="1" applyFill="1" applyBorder="1"/>
    <xf numFmtId="164" fontId="4" fillId="5" borderId="1" xfId="0" applyNumberFormat="1" applyFont="1" applyFill="1" applyBorder="1"/>
    <xf numFmtId="0" fontId="4" fillId="3" borderId="1" xfId="0" applyFont="1" applyFill="1" applyBorder="1"/>
    <xf numFmtId="0" fontId="3" fillId="0" borderId="0" xfId="0" applyFont="1" applyAlignment="1"/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3" xfId="0" applyFont="1" applyBorder="1" applyAlignment="1">
      <alignment vertical="center"/>
    </xf>
    <xf numFmtId="0" fontId="7" fillId="0" borderId="0" xfId="0" applyFont="1" applyAlignment="1">
      <alignment vertical="center"/>
    </xf>
    <xf numFmtId="0" fontId="4" fillId="0" borderId="4" xfId="0" applyFont="1" applyBorder="1" applyAlignment="1">
      <alignment horizontal="center" wrapText="1"/>
    </xf>
    <xf numFmtId="164" fontId="4" fillId="6" borderId="5" xfId="0" applyNumberFormat="1" applyFont="1" applyFill="1" applyBorder="1" applyAlignment="1">
      <alignment horizontal="center" vertical="center" wrapText="1"/>
    </xf>
    <xf numFmtId="0" fontId="4" fillId="0" borderId="6" xfId="0" applyFont="1" applyBorder="1"/>
    <xf numFmtId="164" fontId="4" fillId="0" borderId="7" xfId="0" applyNumberFormat="1" applyFont="1" applyBorder="1"/>
    <xf numFmtId="0" fontId="4" fillId="4" borderId="8" xfId="0" applyFont="1" applyFill="1" applyBorder="1" applyAlignment="1">
      <alignment horizontal="center" vertical="center"/>
    </xf>
    <xf numFmtId="164" fontId="4" fillId="0" borderId="4" xfId="0" applyNumberFormat="1" applyFont="1" applyBorder="1" applyAlignment="1">
      <alignment horizontal="center" vertical="center"/>
    </xf>
    <xf numFmtId="0" fontId="4" fillId="0" borderId="9" xfId="0" applyFont="1" applyBorder="1" applyAlignment="1">
      <alignment horizontal="center" wrapText="1"/>
    </xf>
    <xf numFmtId="164" fontId="4" fillId="4" borderId="10" xfId="0" applyNumberFormat="1" applyFont="1" applyFill="1" applyBorder="1" applyAlignment="1">
      <alignment horizontal="center" vertical="center" wrapText="1"/>
    </xf>
    <xf numFmtId="0" fontId="4" fillId="0" borderId="11" xfId="0" applyFont="1" applyBorder="1"/>
    <xf numFmtId="164" fontId="4" fillId="0" borderId="2" xfId="0" applyNumberFormat="1" applyFont="1" applyBorder="1"/>
    <xf numFmtId="0" fontId="4" fillId="4" borderId="12" xfId="0" applyFont="1" applyFill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4" borderId="8" xfId="0" applyFont="1" applyFill="1" applyBorder="1" applyAlignment="1">
      <alignment horizontal="center" vertical="center"/>
    </xf>
    <xf numFmtId="164" fontId="4" fillId="0" borderId="13" xfId="0" applyNumberFormat="1" applyFont="1" applyBorder="1"/>
    <xf numFmtId="0" fontId="4" fillId="0" borderId="4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164" fontId="4" fillId="4" borderId="1" xfId="0" applyNumberFormat="1" applyFont="1" applyFill="1" applyBorder="1" applyAlignment="1">
      <alignment horizontal="center" vertical="center" wrapText="1"/>
    </xf>
    <xf numFmtId="0" fontId="4" fillId="4" borderId="14" xfId="0" applyFont="1" applyFill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 wrapText="1"/>
    </xf>
    <xf numFmtId="0" fontId="8" fillId="4" borderId="0" xfId="0" applyFont="1" applyFill="1" applyAlignment="1"/>
    <xf numFmtId="0" fontId="9" fillId="4" borderId="0" xfId="0" applyFont="1" applyFill="1" applyAlignment="1"/>
    <xf numFmtId="0" fontId="8" fillId="0" borderId="0" xfId="0" applyFont="1" applyAlignment="1"/>
    <xf numFmtId="0" fontId="8" fillId="0" borderId="0" xfId="0" applyFont="1" applyAlignment="1"/>
    <xf numFmtId="0" fontId="8" fillId="4" borderId="0" xfId="0" applyFont="1" applyFill="1" applyAlignment="1"/>
    <xf numFmtId="0" fontId="8" fillId="7" borderId="0" xfId="0" applyFont="1" applyFill="1" applyAlignment="1">
      <alignment horizontal="right"/>
    </xf>
    <xf numFmtId="0" fontId="8" fillId="7" borderId="0" xfId="0" applyFont="1" applyFill="1" applyAlignment="1"/>
    <xf numFmtId="164" fontId="8" fillId="7" borderId="0" xfId="0" applyNumberFormat="1" applyFont="1" applyFill="1" applyAlignment="1">
      <alignment horizontal="right"/>
    </xf>
    <xf numFmtId="164" fontId="8" fillId="8" borderId="0" xfId="0" applyNumberFormat="1" applyFont="1" applyFill="1" applyAlignment="1">
      <alignment horizontal="right"/>
    </xf>
    <xf numFmtId="164" fontId="8" fillId="0" borderId="0" xfId="0" applyNumberFormat="1" applyFont="1" applyAlignment="1">
      <alignment horizontal="right"/>
    </xf>
    <xf numFmtId="0" fontId="8" fillId="9" borderId="0" xfId="0" applyFont="1" applyFill="1" applyAlignment="1"/>
    <xf numFmtId="0" fontId="8" fillId="9" borderId="0" xfId="0" applyFont="1" applyFill="1" applyAlignment="1"/>
    <xf numFmtId="164" fontId="8" fillId="8" borderId="0" xfId="0" applyNumberFormat="1" applyFont="1" applyFill="1" applyAlignment="1"/>
    <xf numFmtId="0" fontId="8" fillId="8" borderId="0" xfId="0" applyFont="1" applyFill="1" applyAlignment="1"/>
    <xf numFmtId="164" fontId="10" fillId="10" borderId="0" xfId="0" applyNumberFormat="1" applyFont="1" applyFill="1" applyAlignment="1">
      <alignment horizontal="right"/>
    </xf>
    <xf numFmtId="0" fontId="4" fillId="11" borderId="1" xfId="0" applyFont="1" applyFill="1" applyBorder="1"/>
    <xf numFmtId="0" fontId="4" fillId="0" borderId="15" xfId="0" applyFont="1" applyBorder="1"/>
    <xf numFmtId="0" fontId="4" fillId="12" borderId="3" xfId="0" applyFont="1" applyFill="1" applyBorder="1" applyAlignment="1">
      <alignment horizontal="center" vertical="center" wrapText="1"/>
    </xf>
    <xf numFmtId="164" fontId="4" fillId="13" borderId="1" xfId="0" applyNumberFormat="1" applyFont="1" applyFill="1" applyBorder="1" applyAlignment="1">
      <alignment horizontal="center" vertical="center" wrapText="1"/>
    </xf>
    <xf numFmtId="0" fontId="3" fillId="12" borderId="0" xfId="0" applyFont="1" applyFill="1"/>
    <xf numFmtId="164" fontId="4" fillId="12" borderId="2" xfId="0" applyNumberFormat="1" applyFont="1" applyFill="1" applyBorder="1"/>
    <xf numFmtId="0" fontId="4" fillId="13" borderId="14" xfId="0" applyFont="1" applyFill="1" applyBorder="1" applyAlignment="1">
      <alignment horizontal="center" vertical="center"/>
    </xf>
    <xf numFmtId="164" fontId="4" fillId="12" borderId="3" xfId="0" applyNumberFormat="1" applyFont="1" applyFill="1" applyBorder="1" applyAlignment="1">
      <alignment horizontal="center" vertical="center"/>
    </xf>
    <xf numFmtId="164" fontId="4" fillId="12" borderId="0" xfId="0" applyNumberFormat="1" applyFont="1" applyFill="1"/>
    <xf numFmtId="164" fontId="4" fillId="0" borderId="16" xfId="0" applyNumberFormat="1" applyFont="1" applyBorder="1"/>
    <xf numFmtId="0" fontId="3" fillId="0" borderId="16" xfId="0" applyFont="1" applyBorder="1"/>
    <xf numFmtId="0" fontId="0" fillId="0" borderId="0" xfId="0" applyFont="1" applyFill="1" applyAlignment="1"/>
    <xf numFmtId="0" fontId="4" fillId="0" borderId="1" xfId="0" applyFont="1" applyFill="1" applyBorder="1"/>
    <xf numFmtId="0" fontId="8" fillId="13" borderId="0" xfId="0" applyFont="1" applyFill="1" applyAlignment="1"/>
    <xf numFmtId="0" fontId="0" fillId="12" borderId="0" xfId="0" applyFont="1" applyFill="1" applyAlignment="1"/>
    <xf numFmtId="0" fontId="0" fillId="14" borderId="0" xfId="0" applyFont="1" applyFill="1" applyAlignment="1"/>
    <xf numFmtId="0" fontId="11" fillId="4" borderId="0" xfId="0" applyFont="1" applyFill="1" applyAlignment="1"/>
    <xf numFmtId="0" fontId="8" fillId="0" borderId="0" xfId="0" applyFont="1" applyFill="1" applyAlignment="1"/>
    <xf numFmtId="0" fontId="0" fillId="0" borderId="0" xfId="0"/>
    <xf numFmtId="164" fontId="2" fillId="0" borderId="0" xfId="0" applyNumberFormat="1" applyFont="1"/>
    <xf numFmtId="0" fontId="2" fillId="0" borderId="0" xfId="0" applyFont="1"/>
    <xf numFmtId="164" fontId="0" fillId="0" borderId="0" xfId="0" applyNumberFormat="1"/>
    <xf numFmtId="0" fontId="8" fillId="12" borderId="0" xfId="0" applyFont="1" applyFill="1" applyAlignment="1"/>
    <xf numFmtId="0" fontId="1" fillId="0" borderId="0" xfId="0" applyFont="1" applyAlignment="1"/>
  </cellXfs>
  <cellStyles count="1">
    <cellStyle name="Normal" xfId="0" builtinId="0"/>
  </cellStyles>
  <dxfs count="85">
    <dxf>
      <font>
        <color rgb="FF006100"/>
      </font>
      <fill>
        <patternFill>
          <bgColor rgb="FFC6EFCE"/>
        </patternFill>
      </fill>
    </dxf>
    <dxf>
      <font>
        <color theme="1"/>
      </font>
      <fill>
        <patternFill patternType="solid">
          <fgColor rgb="FFA8D08D"/>
          <bgColor rgb="FFA8D08D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4" formatCode="_-* #,##0\ _€_-;\-* #,##0\ _€_-;_-* &quot;-&quot;??\ _€_-;_-@"/>
      <fill>
        <patternFill patternType="solid">
          <fgColor indexed="64"/>
          <bgColor theme="4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4" formatCode="_-* #,##0\ _€_-;\-* #,##0\ _€_-;_-* &quot;-&quot;??\ _€_-;_-@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rgb="FFB4C6E7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4" formatCode="_-* #,##0\ _€_-;\-* #,##0\ _€_-;_-* &quot;-&quot;??\ _€_-;_-@"/>
      <fill>
        <patternFill patternType="solid">
          <fgColor indexed="64"/>
          <bgColor theme="4" tint="0.59999389629810485"/>
        </patternFill>
      </fill>
      <border diagonalUp="0" diagonalDown="0" outline="0">
        <left/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4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4" formatCode="_-* #,##0\ _€_-;\-* #,##0\ _€_-;_-* &quot;-&quot;??\ _€_-;_-@"/>
      <fill>
        <patternFill patternType="solid">
          <fgColor rgb="FFB4C6E7"/>
          <bgColor theme="4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/>
        <top/>
        <bottom/>
      </border>
    </dxf>
    <dxf>
      <fill>
        <patternFill>
          <bgColor theme="4" tint="0.59999389629810485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D8D8D8"/>
          <bgColor rgb="FFD8D8D8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D8D8D8"/>
          <bgColor rgb="FFD8D8D8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D8D8D8"/>
          <bgColor rgb="FFD8D8D8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D8D8D8"/>
          <bgColor rgb="FFD8D8D8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D8D8D8"/>
          <bgColor rgb="FFD8D8D8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B4C6E7"/>
          <bgColor rgb="FFB4C6E7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0"/>
          <bgColor theme="0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D8D8D8"/>
          <bgColor rgb="FFD8D8D8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D8D8D8"/>
          <bgColor rgb="FFD8D8D8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D8D8D8"/>
          <bgColor rgb="FFD8D8D8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B4C6E7"/>
          <bgColor rgb="FFB4C6E7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D8D8D8"/>
          <bgColor rgb="FFD8D8D8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B4C6E7"/>
          <bgColor rgb="FFB4C6E7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C5E0B3"/>
          <bgColor rgb="FFC5E0B3"/>
        </patternFill>
      </fill>
    </dxf>
    <dxf>
      <fill>
        <patternFill patternType="solid">
          <fgColor theme="0"/>
          <bgColor theme="0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B4C6E7"/>
          <bgColor rgb="FFB4C6E7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B4C6E7"/>
          <bgColor rgb="FFB4C6E7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B4C6E7"/>
          <bgColor rgb="FFB4C6E7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B4C6E7"/>
          <bgColor rgb="FFB4C6E7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B4C6E7"/>
          <bgColor rgb="FFB4C6E7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B4C6E7"/>
          <bgColor rgb="FFB4C6E7"/>
        </patternFill>
      </fill>
    </dxf>
    <dxf>
      <fill>
        <patternFill patternType="solid">
          <fgColor theme="4"/>
          <bgColor theme="4"/>
        </patternFill>
      </fill>
    </dxf>
  </dxfs>
  <tableStyles count="23">
    <tableStyle name="Calcul-style" pivot="0" count="3" xr9:uid="{00000000-0011-0000-FFFF-FFFF00000000}">
      <tableStyleElement type="headerRow" dxfId="84"/>
      <tableStyleElement type="firstRowStripe" dxfId="83"/>
      <tableStyleElement type="secondRowStripe" dxfId="82"/>
    </tableStyle>
    <tableStyle name="Calcul-style 2" pivot="0" count="3" xr9:uid="{00000000-0011-0000-FFFF-FFFF01000000}">
      <tableStyleElement type="headerRow" dxfId="81"/>
      <tableStyleElement type="firstRowStripe" dxfId="80"/>
      <tableStyleElement type="secondRowStripe" dxfId="79"/>
    </tableStyle>
    <tableStyle name="Calcul-style 3" pivot="0" count="3" xr9:uid="{00000000-0011-0000-FFFF-FFFF02000000}">
      <tableStyleElement type="headerRow" dxfId="78"/>
      <tableStyleElement type="firstRowStripe" dxfId="77"/>
      <tableStyleElement type="secondRowStripe" dxfId="76"/>
    </tableStyle>
    <tableStyle name="Calcul-style 4" pivot="0" count="3" xr9:uid="{00000000-0011-0000-FFFF-FFFF03000000}">
      <tableStyleElement type="headerRow" dxfId="75"/>
      <tableStyleElement type="firstRowStripe" dxfId="74"/>
      <tableStyleElement type="secondRowStripe" dxfId="73"/>
    </tableStyle>
    <tableStyle name="Calcul-style 5" pivot="0" count="3" xr9:uid="{00000000-0011-0000-FFFF-FFFF04000000}">
      <tableStyleElement type="headerRow" dxfId="72"/>
      <tableStyleElement type="firstRowStripe" dxfId="71"/>
      <tableStyleElement type="secondRowStripe" dxfId="70"/>
    </tableStyle>
    <tableStyle name="Calcul-style 6" pivot="0" count="3" xr9:uid="{00000000-0011-0000-FFFF-FFFF05000000}">
      <tableStyleElement type="headerRow" dxfId="69"/>
      <tableStyleElement type="firstRowStripe" dxfId="68"/>
      <tableStyleElement type="secondRowStripe" dxfId="67"/>
    </tableStyle>
    <tableStyle name="Calcul-style 7" pivot="0" count="3" xr9:uid="{00000000-0011-0000-FFFF-FFFF06000000}">
      <tableStyleElement type="headerRow" dxfId="66"/>
      <tableStyleElement type="firstRowStripe" dxfId="65"/>
      <tableStyleElement type="secondRowStripe" dxfId="64"/>
    </tableStyle>
    <tableStyle name="Calcul-style 8" pivot="0" count="3" xr9:uid="{00000000-0011-0000-FFFF-FFFF07000000}">
      <tableStyleElement type="headerRow" dxfId="63"/>
      <tableStyleElement type="firstRowStripe" dxfId="62"/>
      <tableStyleElement type="secondRowStripe" dxfId="61"/>
    </tableStyle>
    <tableStyle name="Calcul-style 9" pivot="0" count="3" xr9:uid="{00000000-0011-0000-FFFF-FFFF08000000}">
      <tableStyleElement type="headerRow" dxfId="60"/>
      <tableStyleElement type="firstRowStripe" dxfId="59"/>
      <tableStyleElement type="secondRowStripe" dxfId="58"/>
    </tableStyle>
    <tableStyle name="Calcul-style 10" pivot="0" count="3" xr9:uid="{00000000-0011-0000-FFFF-FFFF09000000}">
      <tableStyleElement type="headerRow" dxfId="57"/>
      <tableStyleElement type="firstRowStripe" dxfId="56"/>
      <tableStyleElement type="secondRowStripe" dxfId="55"/>
    </tableStyle>
    <tableStyle name="Calcul-style 11" pivot="0" count="3" xr9:uid="{00000000-0011-0000-FFFF-FFFF0A000000}">
      <tableStyleElement type="headerRow" dxfId="54"/>
      <tableStyleElement type="firstRowStripe" dxfId="53"/>
      <tableStyleElement type="secondRowStripe" dxfId="52"/>
    </tableStyle>
    <tableStyle name="Calcul-style 12" pivot="0" count="3" xr9:uid="{00000000-0011-0000-FFFF-FFFF0B000000}">
      <tableStyleElement type="headerRow" dxfId="51"/>
      <tableStyleElement type="firstRowStripe" dxfId="50"/>
      <tableStyleElement type="secondRowStripe" dxfId="49"/>
    </tableStyle>
    <tableStyle name="Calcul-style 13" pivot="0" count="3" xr9:uid="{00000000-0011-0000-FFFF-FFFF0C000000}">
      <tableStyleElement type="headerRow" dxfId="48"/>
      <tableStyleElement type="firstRowStripe" dxfId="47"/>
      <tableStyleElement type="secondRowStripe" dxfId="46"/>
    </tableStyle>
    <tableStyle name="Calcul-style 14" pivot="0" count="3" xr9:uid="{00000000-0011-0000-FFFF-FFFF0D000000}">
      <tableStyleElement type="headerRow" dxfId="45"/>
      <tableStyleElement type="firstRowStripe" dxfId="44"/>
      <tableStyleElement type="secondRowStripe" dxfId="43"/>
    </tableStyle>
    <tableStyle name="Calcul-style 15" pivot="0" count="3" xr9:uid="{00000000-0011-0000-FFFF-FFFF0E000000}">
      <tableStyleElement type="headerRow" dxfId="42"/>
      <tableStyleElement type="firstRowStripe" dxfId="41"/>
      <tableStyleElement type="secondRowStripe" dxfId="40"/>
    </tableStyle>
    <tableStyle name="Calcul-style 16" pivot="0" count="3" xr9:uid="{00000000-0011-0000-FFFF-FFFF0F000000}">
      <tableStyleElement type="headerRow" dxfId="39"/>
      <tableStyleElement type="firstRowStripe" dxfId="38"/>
      <tableStyleElement type="secondRowStripe" dxfId="37"/>
    </tableStyle>
    <tableStyle name="Calcul-style 17" pivot="0" count="4" xr9:uid="{00000000-0011-0000-FFFF-FFFF10000000}">
      <tableStyleElement type="headerRow" dxfId="36"/>
      <tableStyleElement type="totalRow" dxfId="35"/>
      <tableStyleElement type="firstRowStripe" dxfId="34"/>
      <tableStyleElement type="secondRowStripe" dxfId="33"/>
    </tableStyle>
    <tableStyle name="Calcul-style 18" pivot="0" count="3" xr9:uid="{00000000-0011-0000-FFFF-FFFF11000000}">
      <tableStyleElement type="headerRow" dxfId="32"/>
      <tableStyleElement type="firstRowStripe" dxfId="31"/>
      <tableStyleElement type="secondRowStripe" dxfId="30"/>
    </tableStyle>
    <tableStyle name="Data-style" pivot="0" count="3" xr9:uid="{00000000-0011-0000-FFFF-FFFF12000000}">
      <tableStyleElement type="headerRow" dxfId="29"/>
      <tableStyleElement type="firstRowStripe" dxfId="28"/>
      <tableStyleElement type="secondRowStripe" dxfId="27"/>
    </tableStyle>
    <tableStyle name="Data-style 2" pivot="0" count="3" xr9:uid="{00000000-0011-0000-FFFF-FFFF13000000}">
      <tableStyleElement type="headerRow" dxfId="26"/>
      <tableStyleElement type="firstRowStripe" dxfId="25"/>
      <tableStyleElement type="secondRowStripe" dxfId="24"/>
    </tableStyle>
    <tableStyle name="Data-style 3" pivot="0" count="3" xr9:uid="{00000000-0011-0000-FFFF-FFFF14000000}">
      <tableStyleElement type="headerRow" dxfId="23"/>
      <tableStyleElement type="firstRowStripe" dxfId="22"/>
      <tableStyleElement type="secondRowStripe" dxfId="21"/>
    </tableStyle>
    <tableStyle name="Data-style 4" pivot="0" count="3" xr9:uid="{00000000-0011-0000-FFFF-FFFF15000000}">
      <tableStyleElement type="headerRow" dxfId="20"/>
      <tableStyleElement type="firstRowStripe" dxfId="19"/>
      <tableStyleElement type="secondRowStripe" dxfId="18"/>
    </tableStyle>
    <tableStyle name="Data-style 5" pivot="0" count="3" xr9:uid="{00000000-0011-0000-FFFF-FFFF16000000}">
      <tableStyleElement type="headerRow" dxfId="17"/>
      <tableStyleElement type="firstRowStripe" dxfId="16"/>
      <tableStyleElement type="secondRowStripe" dxfId="1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customschemas.google.com/relationships/workbookmetadata" Target="metadata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calcChain" Target="calcChain.xml"/><Relationship Id="rId10" Type="http://schemas.openxmlformats.org/officeDocument/2006/relationships/sharedStrings" Target="sharedStrings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Pertes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8.9878196351034889E-2"/>
          <c:y val="0.17419800673879246"/>
          <c:w val="0.86345094730688765"/>
          <c:h val="0.7600735889564626"/>
        </c:manualLayout>
      </c:layout>
      <c:barChart>
        <c:barDir val="col"/>
        <c:grouping val="clustered"/>
        <c:varyColors val="0"/>
        <c:ser>
          <c:idx val="0"/>
          <c:order val="0"/>
          <c:spPr>
            <a:pattFill prst="ltUpDiag">
              <a:fgClr>
                <a:schemeClr val="accent1"/>
              </a:fgClr>
              <a:bgClr>
                <a:schemeClr val="lt1"/>
              </a:bgClr>
            </a:pattFill>
            <a:ln>
              <a:noFill/>
            </a:ln>
            <a:effectLst/>
          </c:spPr>
          <c:invertIfNegative val="0"/>
          <c:cat>
            <c:strRef>
              <c:f>TableauDeBord!$D$22:$N$22</c:f>
              <c:strCache>
                <c:ptCount val="11"/>
                <c:pt idx="0">
                  <c:v>cuisse</c:v>
                </c:pt>
                <c:pt idx="2">
                  <c:v>ChairPoulet</c:v>
                </c:pt>
                <c:pt idx="4">
                  <c:v>ChairPorc</c:v>
                </c:pt>
                <c:pt idx="6">
                  <c:v>poitrailleCanard</c:v>
                </c:pt>
                <c:pt idx="8">
                  <c:v>ChairCanard</c:v>
                </c:pt>
                <c:pt idx="10">
                  <c:v>muscle</c:v>
                </c:pt>
              </c:strCache>
            </c:strRef>
          </c:cat>
          <c:val>
            <c:numRef>
              <c:f>TableauDeBord!$D$23:$N$23</c:f>
              <c:numCache>
                <c:formatCode>General</c:formatCode>
                <c:ptCount val="11"/>
                <c:pt idx="0" formatCode="_-* #\ ##0\ _€_-;\-* #\ ##0\ _€_-;_-* &quot;-&quot;??\ _€_-;_-@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14-42A7-AD02-65E25503BB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69"/>
        <c:overlap val="-20"/>
        <c:axId val="1983620783"/>
        <c:axId val="1995070479"/>
      </c:barChart>
      <c:catAx>
        <c:axId val="19836207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accent1">
                <a:lumMod val="60000"/>
                <a:lumOff val="4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5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95070479"/>
        <c:crosses val="autoZero"/>
        <c:auto val="1"/>
        <c:lblAlgn val="ctr"/>
        <c:lblOffset val="100"/>
        <c:noMultiLvlLbl val="0"/>
      </c:catAx>
      <c:valAx>
        <c:axId val="1995070479"/>
        <c:scaling>
          <c:orientation val="minMax"/>
        </c:scaling>
        <c:delete val="0"/>
        <c:axPos val="l"/>
        <c:numFmt formatCode="_-* #\ ##0\ _€_-;\-* #\ ##0\ _€_-;_-* &quot;-&quot;??\ _€_-;_-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836207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DEPENSE / GAINS</a:t>
            </a:r>
          </a:p>
        </c:rich>
      </c:tx>
      <c:layout>
        <c:manualLayout>
          <c:xMode val="edge"/>
          <c:yMode val="edge"/>
          <c:x val="0.42600175584559835"/>
          <c:y val="5.529133702368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 w="19050" cap="flat" cmpd="sng" algn="ctr">
          <a:solidFill>
            <a:schemeClr val="tx1">
              <a:lumMod val="25000"/>
              <a:lumOff val="75000"/>
            </a:schemeClr>
          </a:solidFill>
          <a:round/>
        </a:ln>
        <a:effectLst/>
        <a:sp3d contourW="19050">
          <a:contourClr>
            <a:schemeClr val="tx1">
              <a:lumMod val="25000"/>
              <a:lumOff val="75000"/>
            </a:schemeClr>
          </a:contourClr>
        </a:sp3d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spPr>
            <a:pattFill prst="ltDnDiag">
              <a:fgClr>
                <a:schemeClr val="accent5"/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solidFill>
                <a:schemeClr val="accent5"/>
              </a:solidFill>
            </a:ln>
            <a:effectLst/>
            <a:sp3d>
              <a:contourClr>
                <a:schemeClr val="accent5"/>
              </a:contourClr>
            </a:sp3d>
          </c:spPr>
          <c:invertIfNegative val="0"/>
          <c:cat>
            <c:strRef>
              <c:f>TableauDeBord!$O$18:$P$18</c:f>
              <c:strCache>
                <c:ptCount val="2"/>
                <c:pt idx="0">
                  <c:v>DEPENSES</c:v>
                </c:pt>
                <c:pt idx="1">
                  <c:v>Gain</c:v>
                </c:pt>
              </c:strCache>
            </c:strRef>
          </c:cat>
          <c:val>
            <c:numRef>
              <c:f>TableauDeBord!$O$19:$P$19</c:f>
              <c:numCache>
                <c:formatCode>_-* #\ ##0\ _€_-;\-* #\ ##0\ _€_-;_-* "-"??\ _€_-;_-@</c:formatCode>
                <c:ptCount val="2"/>
                <c:pt idx="0">
                  <c:v>299800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1B-48E4-A044-90E3B9F1CC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978833487"/>
        <c:axId val="1994229247"/>
        <c:axId val="0"/>
      </c:bar3DChart>
      <c:catAx>
        <c:axId val="19788334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94229247"/>
        <c:crosses val="autoZero"/>
        <c:auto val="1"/>
        <c:lblAlgn val="ctr"/>
        <c:lblOffset val="100"/>
        <c:noMultiLvlLbl val="0"/>
      </c:catAx>
      <c:valAx>
        <c:axId val="1994229247"/>
        <c:scaling>
          <c:orientation val="minMax"/>
        </c:scaling>
        <c:delete val="0"/>
        <c:axPos val="l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numFmt formatCode="_-* #\ ##0\ _€_-;\-* #\ ##0\ _€_-;_-* &quot;-&quot;??\ _€_-;_-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788334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style1.xml><?xml version="1.0" encoding="utf-8"?>
<cs:chartStyle xmlns:cs="http://schemas.microsoft.com/office/drawing/2012/chartStyle" xmlns:a="http://schemas.openxmlformats.org/drawingml/2006/main" id="214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70000"/>
        </a:schemeClr>
      </a:solidFill>
    </cs:spPr>
    <cs:defRPr sz="900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9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pattFill prst="ltDn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>
        <a:solidFill>
          <a:schemeClr val="phClr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110217</xdr:colOff>
      <xdr:row>3</xdr:row>
      <xdr:rowOff>37418</xdr:rowOff>
    </xdr:from>
    <xdr:to>
      <xdr:col>23</xdr:col>
      <xdr:colOff>586468</xdr:colOff>
      <xdr:row>20</xdr:row>
      <xdr:rowOff>9525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122462</xdr:colOff>
      <xdr:row>20</xdr:row>
      <xdr:rowOff>170810</xdr:rowOff>
    </xdr:from>
    <xdr:to>
      <xdr:col>23</xdr:col>
      <xdr:colOff>585106</xdr:colOff>
      <xdr:row>35</xdr:row>
      <xdr:rowOff>18411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95250</xdr:colOff>
          <xdr:row>42</xdr:row>
          <xdr:rowOff>123825</xdr:rowOff>
        </xdr:from>
        <xdr:to>
          <xdr:col>11</xdr:col>
          <xdr:colOff>704850</xdr:colOff>
          <xdr:row>44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161925</xdr:colOff>
          <xdr:row>42</xdr:row>
          <xdr:rowOff>76200</xdr:rowOff>
        </xdr:from>
        <xdr:to>
          <xdr:col>6</xdr:col>
          <xdr:colOff>142875</xdr:colOff>
          <xdr:row>44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SaisirObjectif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42</xdr:row>
          <xdr:rowOff>95250</xdr:rowOff>
        </xdr:from>
        <xdr:to>
          <xdr:col>9</xdr:col>
          <xdr:colOff>28575</xdr:colOff>
          <xdr:row>44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AchatMachine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P8:U9">
  <tableColumns count="6">
    <tableColumn id="1" xr3:uid="{00000000-0010-0000-0000-000001000000}" name="utilisation machine"/>
    <tableColumn id="2" xr3:uid="{00000000-0010-0000-0000-000002000000}" name="Decoupe">
      <calculatedColumnFormula>(Q5/M13)*100</calculatedColumnFormula>
    </tableColumn>
    <tableColumn id="3" xr3:uid="{00000000-0010-0000-0000-000003000000}" name="Broyage">
      <calculatedColumnFormula>(R5/M14)*100</calculatedColumnFormula>
    </tableColumn>
    <tableColumn id="4" xr3:uid="{00000000-0010-0000-0000-000004000000}" name="Cuisson">
      <calculatedColumnFormula>(S5/M15)*100</calculatedColumnFormula>
    </tableColumn>
    <tableColumn id="5" xr3:uid="{00000000-0010-0000-0000-000005000000}" name="Embalage">
      <calculatedColumnFormula>(T5/M16)*100</calculatedColumnFormula>
    </tableColumn>
    <tableColumn id="6" xr3:uid="{00000000-0010-0000-0000-000006000000}" name="Total">
      <calculatedColumnFormula>AVERAGE(Calcul!$Q9:$T9)</calculatedColumnFormula>
    </tableColumn>
  </tableColumns>
  <tableStyleInfo name="Calcul-style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_2" displayName="Table_2" ref="P11:S17">
  <tableColumns count="4">
    <tableColumn id="1" xr3:uid="{00000000-0010-0000-0100-000001000000}" name="produit"/>
    <tableColumn id="2" xr3:uid="{00000000-0010-0000-0100-000002000000}" name="quantiter acheter (kg)"/>
    <tableColumn id="3" xr3:uid="{00000000-0010-0000-0100-000003000000}" name="quantiter nessesair (kg)"/>
    <tableColumn id="4" xr3:uid="{00000000-0010-0000-0100-000004000000}" name="pertes">
      <calculatedColumnFormula>ROUNDUP(((Q12-R12)/Q12)*100,0)</calculatedColumnFormula>
    </tableColumn>
  </tableColumns>
  <tableStyleInfo name="Calcul-style 2" showFirstColumn="1" showLastColumn="1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able_9" displayName="Table_9" ref="R25:S28">
  <tableColumns count="2">
    <tableColumn id="1" xr3:uid="{00000000-0010-0000-0800-000001000000}" name="Colonne1"/>
    <tableColumn id="2" xr3:uid="{00000000-0010-0000-0800-000002000000}" name="Colonne2"/>
  </tableColumns>
  <tableStyleInfo name="Calcul-style 9" showFirstColumn="1" showLastColumn="1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able_10" displayName="Table_10" ref="P21:Q27">
  <tableColumns count="2">
    <tableColumn id="1" xr3:uid="{00000000-0010-0000-0900-000001000000}" name="Colonne1"/>
    <tableColumn id="2" xr3:uid="{00000000-0010-0000-0900-000002000000}" name="a commander"/>
  </tableColumns>
  <tableStyleInfo name="Calcul-style 10" showFirstColumn="1" showLastColumn="1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0000000}" name="Table_17" displayName="Table_17" ref="A31:G48" totalsRowCount="1" totalsRowDxfId="14">
  <tableColumns count="7">
    <tableColumn id="1" xr3:uid="{00000000-0010-0000-1000-000001000000}" name="Colonne1" totalsRowDxfId="13"/>
    <tableColumn id="2" xr3:uid="{00000000-0010-0000-1000-000002000000}" name="Colonne2" totalsRowDxfId="12"/>
    <tableColumn id="3" xr3:uid="{00000000-0010-0000-1000-000003000000}" name="Colonne3" totalsRowDxfId="11"/>
    <tableColumn id="4" xr3:uid="{00000000-0010-0000-1000-000004000000}" name="Colonne4" totalsRowDxfId="10"/>
    <tableColumn id="5" xr3:uid="{00000000-0010-0000-1000-000005000000}" name="Colonne5" totalsRowDxfId="9"/>
    <tableColumn id="6" xr3:uid="{00000000-0010-0000-1000-000006000000}" name="Colonne6" totalsRowFunction="custom" totalsRowDxfId="8">
      <totalsRowFormula>SUM(F34,F36,F38,F40,F44)</totalsRowFormula>
    </tableColumn>
    <tableColumn id="7" xr3:uid="{00000000-0010-0000-1000-000007000000}" name="Colonne7" totalsRowDxfId="7"/>
  </tableColumns>
  <tableStyleInfo name="Calcul-style 17" showFirstColumn="1" showLastColumn="1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11000000}" name="Table_18" displayName="Table_18" ref="L12:M16">
  <tableColumns count="2">
    <tableColumn id="1" xr3:uid="{00000000-0010-0000-1100-000001000000}" name="Colonne1"/>
    <tableColumn id="2" xr3:uid="{00000000-0010-0000-1100-000002000000}" name="nombre de machines"/>
  </tableColumns>
  <tableStyleInfo name="Calcul-style 18" showFirstColumn="1" showLastColumn="1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D000000}" name="Table_14" displayName="Table_14" ref="A12:E17">
  <tableColumns count="5">
    <tableColumn id="1" xr3:uid="{00000000-0010-0000-0D00-000001000000}" name="Machine"/>
    <tableColumn id="2" xr3:uid="{00000000-0010-0000-0D00-000002000000}" name="Nombre"/>
    <tableColumn id="3" xr3:uid="{00000000-0010-0000-0D00-000003000000}" name="PrixUtilisation"/>
    <tableColumn id="4" xr3:uid="{8E98294C-3FC9-43B7-99BC-6EDD26095C52}" name="prix achat"/>
    <tableColumn id="5" xr3:uid="{21AAED9D-1089-4E4B-99E4-97E051E7D250}" name="nb ouvrier unitair"/>
  </tableColumns>
  <tableStyleInfo name="Calcul-style 14" showFirstColumn="1" showLastColumn="1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Table_12" displayName="Table_12" ref="H20:I23">
  <tableColumns count="2">
    <tableColumn id="1" xr3:uid="{00000000-0010-0000-0B00-000001000000}" name="cout expres"/>
    <tableColumn id="2" xr3:uid="{00000000-0010-0000-0B00-000002000000}" name="cout normal"/>
  </tableColumns>
  <tableStyleInfo name="Calcul-style 12" showFirstColumn="1" showLastColumn="1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le_8" displayName="Table_8" ref="E20:F23">
  <tableColumns count="2">
    <tableColumn id="1" xr3:uid="{00000000-0010-0000-0700-000001000000}" name="commande expres"/>
    <tableColumn id="2" xr3:uid="{00000000-0010-0000-0700-000002000000}" name="commande normal"/>
  </tableColumns>
  <tableStyleInfo name="Calcul-style 8" showFirstColumn="1" showLastColumn="1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le_7" displayName="Table_7" ref="A20:C25">
  <tableColumns count="3">
    <tableColumn id="1" xr3:uid="{00000000-0010-0000-0600-000001000000}" name="produit"/>
    <tableColumn id="2" xr3:uid="{00000000-0010-0000-0600-000002000000}" name="cout expres"/>
    <tableColumn id="3" xr3:uid="{00000000-0010-0000-0600-000003000000}" name="cout normal"/>
  </tableColumns>
  <tableStyleInfo name="Calcul-style 7" showFirstColumn="1" showLastColumn="1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e_6" displayName="Table_6" ref="A1:E9">
  <tableColumns count="5">
    <tableColumn id="1" xr3:uid="{00000000-0010-0000-0500-000001000000}" name="Postes"/>
    <tableColumn id="2" xr3:uid="{00000000-0010-0000-0500-000002000000}" name="Salaire brut"/>
    <tableColumn id="3" xr3:uid="{00000000-0010-0000-0500-000003000000}" name="effectif"/>
    <tableColumn id="4" xr3:uid="{00000000-0010-0000-0500-000004000000}" name="montant à verser"/>
    <tableColumn id="5" xr3:uid="{00000000-0010-0000-0500-000005000000}" name="Colonne1"/>
  </tableColumns>
  <tableStyleInfo name="Calcul-style 6" showFirstColumn="1" showLastColumn="1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e_5" displayName="Table_5" ref="H1:H2">
  <tableColumns count="1">
    <tableColumn id="1" xr3:uid="{00000000-0010-0000-0400-000001000000}" name="CoutMensuel SALAIRE + MACHINES"/>
  </tableColumns>
  <tableStyleInfo name="Calcul-style 5" showFirstColumn="1" showLastColumn="1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_4" displayName="Table_4" ref="L6:M10">
  <tableColumns count="2">
    <tableColumn id="1" xr3:uid="{00000000-0010-0000-0300-000001000000}" name="Colonne1"/>
    <tableColumn id="2" xr3:uid="{00000000-0010-0000-0300-000002000000}" name="cout"/>
  </tableColumns>
  <tableStyleInfo name="Calcul-style 4" showFirstColumn="1" showLastColumn="1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_3" displayName="Table_3" ref="G4:H6">
  <tableColumns count="2">
    <tableColumn id="1" xr3:uid="{00000000-0010-0000-0200-000001000000}" name="Colonne1"/>
    <tableColumn id="2" xr3:uid="{00000000-0010-0000-0200-000002000000}" name="Colonne2"/>
  </tableColumns>
  <tableStyleInfo name="Calcul-style 3" showFirstColumn="1" showLastColumn="1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3D6C44F-412F-4A2D-8934-D441432F359B}" name="Tableau11" displayName="Tableau11" ref="I31:J37" totalsRowShown="0">
  <autoFilter ref="I31:J37" xr:uid="{1DBE74A3-B8E0-4621-A040-8080F985BD83}"/>
  <tableColumns count="2">
    <tableColumn id="1" xr3:uid="{4487DF01-B0BE-41EF-9A35-F741AF7FB75E}" name="Colonne1"/>
    <tableColumn id="2" xr3:uid="{4FF80BAE-B279-4A92-AF29-BD4BEDDD5837}" name="Colonne2"/>
  </tableColumns>
  <tableStyleInfo name="TableStyleLight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77B42C-2303-45B6-93D5-7409AFC9411B}" name="Tableau1114" displayName="Tableau1114" ref="S37:W42" totalsRowShown="0">
  <autoFilter ref="S37:W42" xr:uid="{EE77B42C-2303-45B6-93D5-7409AFC9411B}"/>
  <tableColumns count="5">
    <tableColumn id="1" xr3:uid="{26D9D446-30A5-4970-A6B3-E6BD7A884285}" name="mousse de canard"/>
    <tableColumn id="2" xr3:uid="{BFA8A93E-8760-49FD-B8F9-3503321FE0A8}" name="terrine de volaille"/>
    <tableColumn id="3" xr3:uid="{CF3B45A4-C791-40F7-9CCC-C0D8B2D3C1E4}" name="cuisse de poulet"/>
    <tableColumn id="4" xr3:uid="{B4ACE9F6-9BED-4F42-B637-4E646E6E1FD8}" name="des de jambon"/>
    <tableColumn id="5" xr3:uid="{81F0484F-6C6C-4007-814F-6A3AE94FEE51}" name="pate de porc"/>
  </tableColumns>
  <tableStyleInfo name="TableStyleLight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2000000}" name="Table_19" displayName="Table_19" ref="A30:F38">
  <tableColumns count="6">
    <tableColumn id="1" xr3:uid="{00000000-0010-0000-1200-000001000000}" name="produit fini"/>
    <tableColumn id="2" xr3:uid="{00000000-0010-0000-1200-000002000000}" name="terrine de vollaie"/>
    <tableColumn id="3" xr3:uid="{00000000-0010-0000-1200-000003000000}" name="pate de porc"/>
    <tableColumn id="4" xr3:uid="{00000000-0010-0000-1200-000004000000}" name="cuisse de poulet"/>
    <tableColumn id="5" xr3:uid="{00000000-0010-0000-1200-000005000000}" name="mousse de canard"/>
    <tableColumn id="6" xr3:uid="{00000000-0010-0000-1200-000006000000}" name="des de jambon"/>
  </tableColumns>
  <tableStyleInfo name="Data-style" showFirstColumn="1" showLastColumn="1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13000000}" name="Table_20" displayName="Table_20" ref="A20:F28">
  <tableColumns count="6">
    <tableColumn id="1" xr3:uid="{00000000-0010-0000-1300-000001000000}" name="produit fini"/>
    <tableColumn id="2" xr3:uid="{00000000-0010-0000-1300-000002000000}" name="terrine de vollaie"/>
    <tableColumn id="3" xr3:uid="{00000000-0010-0000-1300-000003000000}" name="pate de porc"/>
    <tableColumn id="4" xr3:uid="{00000000-0010-0000-1300-000004000000}" name="cuisse de poulet"/>
    <tableColumn id="5" xr3:uid="{00000000-0010-0000-1300-000005000000}" name="mousse de canard"/>
    <tableColumn id="6" xr3:uid="{00000000-0010-0000-1300-000006000000}" name="des de jambon"/>
  </tableColumns>
  <tableStyleInfo name="Data-style 2" showFirstColumn="1" showLastColumn="1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4000000}" name="Table_21" displayName="Table_21" ref="A41:E49">
  <tableColumns count="5">
    <tableColumn id="1" xr3:uid="{00000000-0010-0000-1400-000001000000}" name="Colonne1"/>
    <tableColumn id="2" xr3:uid="{00000000-0010-0000-1400-000002000000}" name="decoupe"/>
    <tableColumn id="3" xr3:uid="{00000000-0010-0000-1400-000003000000}" name="boillage"/>
    <tableColumn id="4" xr3:uid="{00000000-0010-0000-1400-000004000000}" name="cuisson"/>
    <tableColumn id="5" xr3:uid="{00000000-0010-0000-1400-000005000000}" name="emballage"/>
  </tableColumns>
  <tableStyleInfo name="Data-style 3" showFirstColumn="1" showLastColumn="1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5000000}" name="Table_22" displayName="Table_22" ref="A2:H9">
  <tableColumns count="8">
    <tableColumn id="1" xr3:uid="{00000000-0010-0000-1500-000001000000}" name="status"/>
    <tableColumn id="2" xr3:uid="{00000000-0010-0000-1500-000002000000}" name="dirigeant"/>
    <tableColumn id="3" xr3:uid="{00000000-0010-0000-1500-000003000000}" name="employée"/>
    <tableColumn id="4" xr3:uid="{00000000-0010-0000-1500-000004000000}" name="assistant comerciaux"/>
    <tableColumn id="5" xr3:uid="{00000000-0010-0000-1500-000005000000}" name="commmerciaux"/>
    <tableColumn id="6" xr3:uid="{00000000-0010-0000-1500-000006000000}" name="cadre moyen"/>
    <tableColumn id="7" xr3:uid="{00000000-0010-0000-1500-000007000000}" name="agent maitrise"/>
    <tableColumn id="8" xr3:uid="{00000000-0010-0000-1500-000008000000}" name="ouvrier"/>
  </tableColumns>
  <tableStyleInfo name="Data-style 4" showFirstColumn="1" showLastColumn="1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6000000}" name="Table_23" displayName="Table_23" ref="A11:D18">
  <tableColumns count="4">
    <tableColumn id="1" xr3:uid="{00000000-0010-0000-1600-000001000000}" name="produit"/>
    <tableColumn id="2" xr3:uid="{00000000-0010-0000-1600-000002000000}" name="poulet"/>
    <tableColumn id="3" xr3:uid="{00000000-0010-0000-1600-000003000000}" name="canard"/>
    <tableColumn id="4" xr3:uid="{00000000-0010-0000-1600-000004000000}" name="porc"/>
  </tableColumns>
  <tableStyleInfo name="Data-style 5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5" Type="http://schemas.openxmlformats.org/officeDocument/2006/relationships/table" Target="../tables/table1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6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table" Target="../tables/table18.xml"/><Relationship Id="rId1" Type="http://schemas.openxmlformats.org/officeDocument/2006/relationships/table" Target="../tables/table17.xml"/><Relationship Id="rId5" Type="http://schemas.openxmlformats.org/officeDocument/2006/relationships/table" Target="../tables/table21.xml"/><Relationship Id="rId4" Type="http://schemas.openxmlformats.org/officeDocument/2006/relationships/table" Target="../tables/table2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AD1000"/>
  <sheetViews>
    <sheetView topLeftCell="A4" zoomScale="85" zoomScaleNormal="85" workbookViewId="0">
      <selection activeCell="K45" sqref="K45"/>
    </sheetView>
  </sheetViews>
  <sheetFormatPr baseColWidth="10" defaultColWidth="14.42578125" defaultRowHeight="15" customHeight="1"/>
  <cols>
    <col min="1" max="1" width="23.140625" customWidth="1"/>
    <col min="2" max="2" width="15.85546875" customWidth="1"/>
    <col min="3" max="3" width="17.28515625" customWidth="1"/>
    <col min="4" max="4" width="18.140625" customWidth="1"/>
    <col min="5" max="5" width="19.42578125" customWidth="1"/>
    <col min="6" max="6" width="19.7109375" customWidth="1"/>
    <col min="7" max="7" width="11.5703125" customWidth="1"/>
    <col min="8" max="8" width="13.42578125" customWidth="1"/>
    <col min="9" max="9" width="14.5703125" customWidth="1"/>
    <col min="10" max="10" width="21.5703125" customWidth="1"/>
    <col min="11" max="11" width="25.85546875" customWidth="1"/>
    <col min="12" max="12" width="11.7109375" customWidth="1"/>
    <col min="13" max="13" width="19.28515625" customWidth="1"/>
    <col min="14" max="15" width="11.5703125" customWidth="1"/>
    <col min="16" max="16" width="21.5703125" customWidth="1"/>
    <col min="17" max="17" width="16.140625" customWidth="1"/>
    <col min="18" max="18" width="22.42578125" customWidth="1"/>
    <col min="19" max="19" width="24" customWidth="1"/>
    <col min="20" max="20" width="16.7109375" customWidth="1"/>
    <col min="21" max="21" width="14.28515625" customWidth="1"/>
    <col min="22" max="22" width="14.140625" customWidth="1"/>
    <col min="23" max="23" width="8" customWidth="1"/>
    <col min="24" max="24" width="10.7109375" customWidth="1"/>
    <col min="25" max="25" width="15" customWidth="1"/>
    <col min="26" max="26" width="17.140625" customWidth="1"/>
    <col min="27" max="27" width="12.7109375" customWidth="1"/>
    <col min="28" max="28" width="11.42578125" customWidth="1"/>
    <col min="29" max="29" width="12.7109375" customWidth="1"/>
    <col min="30" max="30" width="13.7109375" customWidth="1"/>
  </cols>
  <sheetData>
    <row r="1" spans="1:30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H1" s="1" t="s">
        <v>5</v>
      </c>
      <c r="O1" s="2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</row>
    <row r="2" spans="1:30" ht="18.75">
      <c r="A2" s="1" t="s">
        <v>6</v>
      </c>
      <c r="B2" s="1">
        <f>1800+G6</f>
        <v>1800</v>
      </c>
      <c r="C2" s="1">
        <v>10</v>
      </c>
      <c r="D2" s="1">
        <f>Calcul!$B2*Calcul!$C2</f>
        <v>18000</v>
      </c>
      <c r="E2" s="1"/>
      <c r="G2" s="4" t="s">
        <v>7</v>
      </c>
      <c r="H2" s="1">
        <f>SUM(C17+D9)</f>
        <v>299800</v>
      </c>
      <c r="O2" s="3"/>
      <c r="P2" s="5" t="s">
        <v>8</v>
      </c>
      <c r="Q2" s="5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</row>
    <row r="3" spans="1:30">
      <c r="A3" s="1" t="s">
        <v>9</v>
      </c>
      <c r="B3" s="1">
        <f>1500+G6</f>
        <v>1500</v>
      </c>
      <c r="C3" s="1">
        <v>1</v>
      </c>
      <c r="D3" s="1">
        <f>Calcul!$B3*Calcul!$C3</f>
        <v>1500</v>
      </c>
      <c r="E3" s="1"/>
      <c r="O3" s="3"/>
    </row>
    <row r="4" spans="1:30">
      <c r="A4" s="1" t="s">
        <v>10</v>
      </c>
      <c r="B4" s="1">
        <f>10000+G6</f>
        <v>10000</v>
      </c>
      <c r="C4" s="1">
        <v>5</v>
      </c>
      <c r="D4" s="1">
        <f>Calcul!$B4*Calcul!$C4</f>
        <v>50000</v>
      </c>
      <c r="E4" s="1"/>
      <c r="G4" s="1" t="s">
        <v>4</v>
      </c>
      <c r="H4" s="1" t="s">
        <v>11</v>
      </c>
      <c r="O4" s="3"/>
      <c r="P4" s="8"/>
    </row>
    <row r="5" spans="1:30">
      <c r="A5" s="1" t="s">
        <v>12</v>
      </c>
      <c r="B5" s="1">
        <v>3200</v>
      </c>
      <c r="C5" s="1">
        <v>5</v>
      </c>
      <c r="D5" s="1">
        <f>Calcul!$B5*Calcul!$C5</f>
        <v>16000</v>
      </c>
      <c r="E5" s="1"/>
      <c r="G5" s="1" t="s">
        <v>13</v>
      </c>
      <c r="H5" s="1" t="s">
        <v>14</v>
      </c>
      <c r="O5" s="3"/>
      <c r="P5" s="9" t="s">
        <v>36</v>
      </c>
      <c r="Q5" s="9">
        <f>(((Q23*100)/50000)+((Q24*2)/45000)+((Q25*3)/45000))</f>
        <v>0</v>
      </c>
      <c r="R5" s="10">
        <f>((B38*0.098)/75000)+((0.156*B40)/75000)+((0.18*B44)/75000)</f>
        <v>0</v>
      </c>
      <c r="S5" s="10">
        <f>((B38*0.098)/54000)+((B40*0.156)/45000)+((B44*0.18)/100000)+((B36*0.25)/22500)</f>
        <v>0</v>
      </c>
      <c r="T5" s="10">
        <f>((B38*0.098)/40000)+((B40*0.156)/40000)+((B44*0.18)/40000)+((B36*0.25)/40000)+((B34*0.512)/40000)</f>
        <v>0</v>
      </c>
    </row>
    <row r="6" spans="1:30">
      <c r="A6" s="1" t="s">
        <v>15</v>
      </c>
      <c r="B6" s="1">
        <v>1000</v>
      </c>
      <c r="C6" s="1">
        <v>5</v>
      </c>
      <c r="D6" s="1">
        <f>Calcul!$B6*Calcul!$C6</f>
        <v>5000</v>
      </c>
      <c r="E6" s="1"/>
      <c r="G6" s="1">
        <f>TableauDeBord!N31</f>
        <v>0</v>
      </c>
      <c r="H6" s="1"/>
      <c r="L6" s="1" t="s">
        <v>4</v>
      </c>
      <c r="M6" s="1" t="s">
        <v>17</v>
      </c>
      <c r="O6" s="3"/>
      <c r="P6" s="8"/>
    </row>
    <row r="7" spans="1:30">
      <c r="A7" s="1" t="s">
        <v>16</v>
      </c>
      <c r="B7" s="1">
        <v>1500</v>
      </c>
      <c r="C7" s="1">
        <v>5</v>
      </c>
      <c r="D7" s="1">
        <f>Calcul!$B7*Calcul!$C7</f>
        <v>7500</v>
      </c>
      <c r="E7" s="1"/>
      <c r="L7" s="1" t="s">
        <v>19</v>
      </c>
      <c r="M7" s="1">
        <f>SUM(D2:D8)</f>
        <v>170800</v>
      </c>
      <c r="O7" s="3"/>
      <c r="P7" s="8"/>
    </row>
    <row r="8" spans="1:30">
      <c r="A8" s="1" t="s">
        <v>18</v>
      </c>
      <c r="B8" s="1">
        <v>1400</v>
      </c>
      <c r="C8" s="1">
        <v>52</v>
      </c>
      <c r="D8" s="1">
        <f>Calcul!$B8*Calcul!$C8</f>
        <v>72800</v>
      </c>
      <c r="E8" s="1"/>
      <c r="L8" s="1" t="s">
        <v>21</v>
      </c>
      <c r="M8" s="1">
        <f>SUM(C13:C16)</f>
        <v>129000</v>
      </c>
      <c r="O8" s="3"/>
      <c r="P8" s="12" t="s">
        <v>44</v>
      </c>
      <c r="Q8" s="12" t="s">
        <v>27</v>
      </c>
      <c r="R8" s="12" t="s">
        <v>45</v>
      </c>
      <c r="S8" s="12" t="s">
        <v>31</v>
      </c>
      <c r="T8" s="12" t="s">
        <v>46</v>
      </c>
      <c r="U8" s="12" t="s">
        <v>35</v>
      </c>
    </row>
    <row r="9" spans="1:30">
      <c r="A9" s="1" t="s">
        <v>20</v>
      </c>
      <c r="B9" s="1"/>
      <c r="C9" s="1">
        <f t="shared" ref="C9:D9" si="0">SUM(C2:C8)</f>
        <v>83</v>
      </c>
      <c r="D9" s="1">
        <f t="shared" si="0"/>
        <v>170800</v>
      </c>
      <c r="E9" s="1"/>
      <c r="L9" s="1" t="s">
        <v>22</v>
      </c>
      <c r="M9" s="6">
        <f t="array" ref="M9">SUM(H21,H22,H23)</f>
        <v>0</v>
      </c>
      <c r="O9" s="3"/>
      <c r="P9" s="12" t="s">
        <v>48</v>
      </c>
      <c r="Q9" s="6">
        <f>(Q5/M13)*100</f>
        <v>0</v>
      </c>
      <c r="R9" s="6">
        <f>(R5/M14)*100</f>
        <v>0</v>
      </c>
      <c r="S9" s="6">
        <f>(S5/M15)*100</f>
        <v>0</v>
      </c>
      <c r="T9" s="6">
        <f>(T5/M16)*100</f>
        <v>0</v>
      </c>
      <c r="U9" s="6">
        <f>AVERAGE(Calcul!$Q9:$T9)</f>
        <v>0</v>
      </c>
    </row>
    <row r="10" spans="1:30">
      <c r="L10" t="s">
        <v>138</v>
      </c>
      <c r="M10">
        <f>SUM(J37,J44*B8)</f>
        <v>0</v>
      </c>
      <c r="O10" s="3"/>
    </row>
    <row r="11" spans="1:30">
      <c r="O11" s="3"/>
      <c r="P11" s="1" t="s">
        <v>22</v>
      </c>
      <c r="Q11" s="1" t="s">
        <v>51</v>
      </c>
      <c r="R11" s="1" t="s">
        <v>52</v>
      </c>
      <c r="S11" s="1" t="s">
        <v>53</v>
      </c>
    </row>
    <row r="12" spans="1:30">
      <c r="A12" s="1" t="s">
        <v>23</v>
      </c>
      <c r="B12" s="1" t="s">
        <v>24</v>
      </c>
      <c r="C12" s="1" t="s">
        <v>25</v>
      </c>
      <c r="D12" t="s">
        <v>137</v>
      </c>
      <c r="E12" t="s">
        <v>141</v>
      </c>
      <c r="L12" s="1" t="s">
        <v>4</v>
      </c>
      <c r="M12" s="1" t="s">
        <v>26</v>
      </c>
      <c r="O12" s="3"/>
      <c r="P12" s="1" t="s">
        <v>54</v>
      </c>
      <c r="Q12" s="6">
        <f>(Q24*2)*Data!B15</f>
        <v>0</v>
      </c>
      <c r="R12" s="6">
        <f>D34</f>
        <v>0</v>
      </c>
      <c r="S12" s="6" t="e">
        <f t="shared" ref="S12:S17" si="1">ROUNDUP(((Q12-R12)/Q12)*100,0)</f>
        <v>#DIV/0!</v>
      </c>
    </row>
    <row r="13" spans="1:30">
      <c r="A13" s="1" t="s">
        <v>27</v>
      </c>
      <c r="B13" s="1">
        <v>6</v>
      </c>
      <c r="C13" s="1">
        <f>4000*B13</f>
        <v>24000</v>
      </c>
      <c r="D13">
        <v>275000</v>
      </c>
      <c r="E13">
        <v>2</v>
      </c>
      <c r="L13" s="1" t="s">
        <v>28</v>
      </c>
      <c r="M13" s="1">
        <v>6</v>
      </c>
      <c r="O13" s="3"/>
      <c r="P13" s="1" t="s">
        <v>55</v>
      </c>
      <c r="Q13" s="6">
        <f>(Q23*100)*Data!D17</f>
        <v>0</v>
      </c>
      <c r="R13" s="6">
        <f>D36</f>
        <v>0</v>
      </c>
      <c r="S13" s="1" t="e">
        <f t="shared" si="1"/>
        <v>#DIV/0!</v>
      </c>
    </row>
    <row r="14" spans="1:30">
      <c r="A14" s="1" t="s">
        <v>29</v>
      </c>
      <c r="B14" s="1">
        <v>4</v>
      </c>
      <c r="C14" s="1">
        <f>3000*B14</f>
        <v>12000</v>
      </c>
      <c r="D14">
        <v>295000</v>
      </c>
      <c r="E14">
        <v>1</v>
      </c>
      <c r="L14" s="1" t="s">
        <v>30</v>
      </c>
      <c r="M14" s="1">
        <v>4</v>
      </c>
      <c r="O14" s="3"/>
      <c r="P14" s="1" t="s">
        <v>56</v>
      </c>
      <c r="Q14" s="6">
        <f>(Q25*3)*Data!C16</f>
        <v>0</v>
      </c>
      <c r="R14" s="6">
        <f>D45</f>
        <v>0</v>
      </c>
      <c r="S14" s="1" t="e">
        <f t="shared" si="1"/>
        <v>#DIV/0!</v>
      </c>
    </row>
    <row r="15" spans="1:30">
      <c r="A15" s="1" t="s">
        <v>31</v>
      </c>
      <c r="B15" s="1">
        <v>6</v>
      </c>
      <c r="C15" s="1">
        <f>8000*B15</f>
        <v>48000</v>
      </c>
      <c r="D15">
        <v>335000</v>
      </c>
      <c r="E15">
        <v>3</v>
      </c>
      <c r="J15" s="7"/>
      <c r="L15" s="1" t="s">
        <v>32</v>
      </c>
      <c r="M15" s="1">
        <v>6</v>
      </c>
      <c r="O15" s="3"/>
      <c r="P15" s="1" t="s">
        <v>57</v>
      </c>
      <c r="Q15" s="6">
        <f>(Q24*2)*Data!B12</f>
        <v>0</v>
      </c>
      <c r="R15" s="6">
        <f>D41</f>
        <v>0</v>
      </c>
      <c r="S15" s="15" t="e">
        <f>ROUNDUP(((Q15-R15)/Q15)*100,0)</f>
        <v>#DIV/0!</v>
      </c>
    </row>
    <row r="16" spans="1:30">
      <c r="A16" s="1" t="s">
        <v>33</v>
      </c>
      <c r="B16" s="1">
        <v>6</v>
      </c>
      <c r="C16" s="1">
        <f>7500*B16</f>
        <v>45000</v>
      </c>
      <c r="D16">
        <v>505000</v>
      </c>
      <c r="E16">
        <v>3</v>
      </c>
      <c r="L16" s="1" t="s">
        <v>34</v>
      </c>
      <c r="M16" s="1">
        <v>6</v>
      </c>
      <c r="O16" s="3"/>
      <c r="P16" s="1" t="s">
        <v>58</v>
      </c>
      <c r="Q16" s="6">
        <f>(Q25*3)*Data!C13</f>
        <v>0</v>
      </c>
      <c r="R16" s="6">
        <f>D46+D42</f>
        <v>0</v>
      </c>
      <c r="S16" s="1" t="e">
        <f t="shared" si="1"/>
        <v>#DIV/0!</v>
      </c>
    </row>
    <row r="17" spans="1:19">
      <c r="A17" s="1" t="s">
        <v>35</v>
      </c>
      <c r="B17" s="1">
        <f t="shared" ref="B17:C17" si="2">SUM(B13:B16)</f>
        <v>22</v>
      </c>
      <c r="C17" s="1">
        <f t="shared" si="2"/>
        <v>129000</v>
      </c>
      <c r="O17" s="3"/>
      <c r="P17" s="1" t="s">
        <v>59</v>
      </c>
      <c r="Q17" s="6">
        <f>(Q23*100)*Data!D14</f>
        <v>0</v>
      </c>
      <c r="R17" s="6">
        <f>D40+D44+D38</f>
        <v>0</v>
      </c>
      <c r="S17" s="1" t="e">
        <f t="shared" si="1"/>
        <v>#DIV/0!</v>
      </c>
    </row>
    <row r="18" spans="1:19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</row>
    <row r="19" spans="1:19" ht="15.75">
      <c r="A19" s="11" t="s">
        <v>37</v>
      </c>
      <c r="B19" s="3"/>
      <c r="C19" s="3" t="s">
        <v>38</v>
      </c>
      <c r="D19" s="11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</row>
    <row r="20" spans="1:19">
      <c r="A20" s="1" t="s">
        <v>22</v>
      </c>
      <c r="B20" s="1" t="s">
        <v>39</v>
      </c>
      <c r="C20" s="1" t="s">
        <v>40</v>
      </c>
      <c r="E20" s="1" t="s">
        <v>41</v>
      </c>
      <c r="F20" s="1" t="s">
        <v>42</v>
      </c>
      <c r="H20" s="1" t="s">
        <v>39</v>
      </c>
      <c r="I20" s="1" t="s">
        <v>40</v>
      </c>
      <c r="O20" s="3"/>
    </row>
    <row r="21" spans="1:19" ht="15.75" customHeight="1">
      <c r="A21" s="1" t="s">
        <v>43</v>
      </c>
      <c r="B21" s="1">
        <v>6.4</v>
      </c>
      <c r="C21" s="1">
        <v>5.6</v>
      </c>
      <c r="E21" s="6">
        <f>Q24</f>
        <v>0</v>
      </c>
      <c r="F21" s="1">
        <v>0</v>
      </c>
      <c r="H21" s="6">
        <f>ROUNDUP(E21*B21,0)</f>
        <v>0</v>
      </c>
      <c r="I21" s="6">
        <f t="array" ref="I21">F21*C21</f>
        <v>0</v>
      </c>
      <c r="O21" s="3"/>
      <c r="P21" s="12" t="s">
        <v>4</v>
      </c>
      <c r="Q21" s="12" t="s">
        <v>60</v>
      </c>
    </row>
    <row r="22" spans="1:19" ht="15.75" customHeight="1">
      <c r="A22" s="1" t="s">
        <v>47</v>
      </c>
      <c r="B22" s="1">
        <v>14.78</v>
      </c>
      <c r="C22" s="1">
        <v>12.94</v>
      </c>
      <c r="E22" s="6">
        <f>Q25</f>
        <v>0</v>
      </c>
      <c r="F22" s="1">
        <v>0</v>
      </c>
      <c r="H22" s="6">
        <f>B22*E22</f>
        <v>0</v>
      </c>
      <c r="I22" s="6">
        <f t="shared" ref="I22:I23" si="3">F22*C22</f>
        <v>0</v>
      </c>
      <c r="O22" s="3"/>
      <c r="P22" s="1" t="s">
        <v>61</v>
      </c>
      <c r="Q22" s="1" t="s">
        <v>62</v>
      </c>
    </row>
    <row r="23" spans="1:19" ht="15.75" customHeight="1">
      <c r="A23" s="1" t="s">
        <v>49</v>
      </c>
      <c r="B23" s="1">
        <v>206.4</v>
      </c>
      <c r="C23" s="1">
        <v>180.6</v>
      </c>
      <c r="E23" s="6">
        <f>Q23</f>
        <v>0</v>
      </c>
      <c r="F23" s="1">
        <v>0</v>
      </c>
      <c r="H23" s="6">
        <f t="shared" ref="H23" si="4">E23*B23</f>
        <v>0</v>
      </c>
      <c r="I23" s="6">
        <f t="shared" si="3"/>
        <v>0</v>
      </c>
      <c r="O23" s="3"/>
      <c r="P23" s="12" t="s">
        <v>63</v>
      </c>
      <c r="Q23" s="6">
        <f>MAX(G38+G40+G44,G36)</f>
        <v>0</v>
      </c>
    </row>
    <row r="24" spans="1:19" ht="15.75" customHeight="1">
      <c r="A24" t="s">
        <v>102</v>
      </c>
      <c r="B24">
        <v>306.39999999999998</v>
      </c>
      <c r="C24">
        <v>268.10000000000002</v>
      </c>
      <c r="G24" s="13" t="s">
        <v>50</v>
      </c>
      <c r="H24" s="14">
        <f t="shared" ref="H24:I24" si="5">SUM(H21,H22,H23)</f>
        <v>0</v>
      </c>
      <c r="I24" s="14">
        <f t="shared" si="5"/>
        <v>0</v>
      </c>
      <c r="O24" s="3"/>
      <c r="P24" s="12" t="s">
        <v>64</v>
      </c>
      <c r="Q24" s="6">
        <f>MAX(G34,G41)</f>
        <v>0</v>
      </c>
    </row>
    <row r="25" spans="1:19" ht="15.75" customHeight="1">
      <c r="A25" t="s">
        <v>68</v>
      </c>
      <c r="B25">
        <v>128.63999999999999</v>
      </c>
      <c r="C25">
        <v>112.56</v>
      </c>
      <c r="O25" s="3"/>
      <c r="P25" s="12" t="s">
        <v>65</v>
      </c>
      <c r="Q25" s="6">
        <f>MAX(G46+G42,G45)</f>
        <v>0</v>
      </c>
      <c r="R25" s="12" t="s">
        <v>4</v>
      </c>
      <c r="S25" s="6" t="s">
        <v>11</v>
      </c>
    </row>
    <row r="26" spans="1:19" ht="15.75" customHeight="1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1" t="s">
        <v>66</v>
      </c>
      <c r="Q26" s="6">
        <f>MAX(G37,G47,G35)</f>
        <v>0</v>
      </c>
      <c r="R26" s="1" t="s">
        <v>67</v>
      </c>
      <c r="S26" s="6">
        <f>SUM(M9,M8,M7)</f>
        <v>299800</v>
      </c>
    </row>
    <row r="27" spans="1:19" ht="15.75" customHeight="1">
      <c r="O27" s="3"/>
      <c r="P27" s="1" t="s">
        <v>68</v>
      </c>
      <c r="Q27" s="6">
        <f>MAX(G43,G39)</f>
        <v>0</v>
      </c>
      <c r="R27" s="1" t="s">
        <v>69</v>
      </c>
      <c r="S27" s="6">
        <f>Calcul!$F$48</f>
        <v>0</v>
      </c>
    </row>
    <row r="28" spans="1:19" ht="15.75" customHeight="1">
      <c r="O28" s="3"/>
      <c r="R28" s="16" t="s">
        <v>70</v>
      </c>
      <c r="S28" s="6">
        <f>S27-S26</f>
        <v>-299800</v>
      </c>
    </row>
    <row r="29" spans="1:19" ht="15.75" customHeight="1">
      <c r="O29" s="3"/>
    </row>
    <row r="30" spans="1:19" ht="15.75" customHeight="1">
      <c r="O30" s="3"/>
    </row>
    <row r="31" spans="1:19" ht="15.75" customHeight="1">
      <c r="A31" s="17" t="s">
        <v>4</v>
      </c>
      <c r="B31" s="18" t="s">
        <v>11</v>
      </c>
      <c r="C31" s="17" t="s">
        <v>71</v>
      </c>
      <c r="D31" s="19" t="s">
        <v>72</v>
      </c>
      <c r="E31" s="20" t="s">
        <v>73</v>
      </c>
      <c r="F31" s="17" t="s">
        <v>74</v>
      </c>
      <c r="G31" s="17" t="s">
        <v>75</v>
      </c>
      <c r="I31" t="s">
        <v>4</v>
      </c>
      <c r="J31" t="s">
        <v>11</v>
      </c>
      <c r="O31" s="3"/>
    </row>
    <row r="32" spans="1:19" ht="41.25" customHeight="1">
      <c r="A32" s="17" t="s">
        <v>76</v>
      </c>
      <c r="B32" s="18" t="s">
        <v>77</v>
      </c>
      <c r="C32" s="17" t="s">
        <v>78</v>
      </c>
      <c r="D32" s="19"/>
      <c r="E32" s="20" t="s">
        <v>79</v>
      </c>
      <c r="F32" s="17"/>
      <c r="G32" s="6"/>
      <c r="I32" t="s">
        <v>135</v>
      </c>
      <c r="O32" s="3"/>
    </row>
    <row r="33" spans="1:15" ht="15.75" customHeight="1">
      <c r="A33" s="17"/>
      <c r="B33" s="18" t="s">
        <v>80</v>
      </c>
      <c r="C33" s="17" t="s">
        <v>81</v>
      </c>
      <c r="D33" s="19" t="s">
        <v>82</v>
      </c>
      <c r="E33" s="21" t="s">
        <v>62</v>
      </c>
      <c r="F33" s="22" t="s">
        <v>50</v>
      </c>
      <c r="G33" s="6" t="s">
        <v>83</v>
      </c>
      <c r="I33" t="s">
        <v>27</v>
      </c>
      <c r="J33">
        <f>D13*TableauDeBord!D35</f>
        <v>0</v>
      </c>
      <c r="O33" s="3"/>
    </row>
    <row r="34" spans="1:15" ht="15.75" customHeight="1">
      <c r="A34" s="23" t="s">
        <v>84</v>
      </c>
      <c r="B34" s="24">
        <f>TableauDeBord!D8</f>
        <v>0</v>
      </c>
      <c r="C34" s="25" t="s">
        <v>54</v>
      </c>
      <c r="D34" s="26">
        <f>B34*Data!D34</f>
        <v>0</v>
      </c>
      <c r="E34" s="27">
        <v>5.25</v>
      </c>
      <c r="F34" s="28">
        <f>B34*E34</f>
        <v>0</v>
      </c>
      <c r="G34" s="67">
        <f>(D34/Data!B12)/2</f>
        <v>0</v>
      </c>
      <c r="I34" t="s">
        <v>45</v>
      </c>
      <c r="J34">
        <f>D14*TableauDeBord!F35</f>
        <v>0</v>
      </c>
      <c r="O34" s="3"/>
    </row>
    <row r="35" spans="1:15" ht="15.75" customHeight="1">
      <c r="A35" s="29"/>
      <c r="B35" s="30"/>
      <c r="C35" s="31" t="s">
        <v>85</v>
      </c>
      <c r="D35" s="32">
        <f>B34*Data!D38</f>
        <v>0</v>
      </c>
      <c r="E35" s="33"/>
      <c r="F35" s="34"/>
      <c r="G35" s="67">
        <f>ROUNDUP(D35/50,0)</f>
        <v>0</v>
      </c>
      <c r="I35" t="s">
        <v>31</v>
      </c>
      <c r="J35">
        <f>D15*TableauDeBord!H35</f>
        <v>0</v>
      </c>
      <c r="O35" s="3"/>
    </row>
    <row r="36" spans="1:15" ht="15.75" customHeight="1">
      <c r="A36" s="23" t="s">
        <v>86</v>
      </c>
      <c r="B36" s="24">
        <f>TableauDeBord!F8</f>
        <v>0</v>
      </c>
      <c r="C36" s="12" t="s">
        <v>55</v>
      </c>
      <c r="D36" s="26">
        <f>B36*Data!F36</f>
        <v>0</v>
      </c>
      <c r="E36" s="35">
        <v>1.75</v>
      </c>
      <c r="F36" s="28">
        <f>E36*B36</f>
        <v>0</v>
      </c>
      <c r="G36" s="67">
        <f>(D36/Data!D17)/100</f>
        <v>0</v>
      </c>
      <c r="I36" t="s">
        <v>46</v>
      </c>
      <c r="J36">
        <f>D16*TableauDeBord!J35</f>
        <v>0</v>
      </c>
      <c r="O36" s="3"/>
    </row>
    <row r="37" spans="1:15" ht="15.75" customHeight="1">
      <c r="A37" s="29"/>
      <c r="B37" s="30"/>
      <c r="C37" s="31" t="s">
        <v>85</v>
      </c>
      <c r="D37" s="36">
        <f>B36*Data!F38</f>
        <v>0</v>
      </c>
      <c r="E37" s="33"/>
      <c r="F37" s="34"/>
      <c r="G37" s="67">
        <f>ROUNDUP(D37/50,0)</f>
        <v>0</v>
      </c>
      <c r="I37" t="s">
        <v>50</v>
      </c>
      <c r="J37">
        <f>SUM(J36,J35,J34,J33,)</f>
        <v>0</v>
      </c>
      <c r="O37" s="3"/>
    </row>
    <row r="38" spans="1:15" ht="15.75" customHeight="1">
      <c r="A38" s="23" t="s">
        <v>87</v>
      </c>
      <c r="B38" s="24">
        <f>TableauDeBord!H8</f>
        <v>0</v>
      </c>
      <c r="C38" s="25" t="s">
        <v>88</v>
      </c>
      <c r="D38" s="32">
        <f>B38*Data!C33</f>
        <v>0</v>
      </c>
      <c r="E38" s="27">
        <v>2</v>
      </c>
      <c r="F38" s="28">
        <f>Calcul!$B38*Calcul!$E38</f>
        <v>0</v>
      </c>
      <c r="G38" s="67">
        <f>(D38/Data!D14)/100</f>
        <v>0</v>
      </c>
      <c r="O38" s="3"/>
    </row>
    <row r="39" spans="1:15" ht="15.75" customHeight="1">
      <c r="A39" s="29"/>
      <c r="B39" s="30"/>
      <c r="C39" s="31" t="s">
        <v>89</v>
      </c>
      <c r="D39" s="36">
        <f>B38*Data!C37</f>
        <v>0</v>
      </c>
      <c r="E39" s="33"/>
      <c r="F39" s="34"/>
      <c r="G39" s="67">
        <f>ROUNDUP(D39/60,0)</f>
        <v>0</v>
      </c>
      <c r="I39" t="s">
        <v>139</v>
      </c>
      <c r="J39" t="s">
        <v>140</v>
      </c>
      <c r="O39" s="3"/>
    </row>
    <row r="40" spans="1:15" ht="15.75" customHeight="1">
      <c r="A40" s="37" t="s">
        <v>90</v>
      </c>
      <c r="B40" s="24">
        <f>TableauDeBord!J8</f>
        <v>0</v>
      </c>
      <c r="C40" s="25" t="s">
        <v>88</v>
      </c>
      <c r="D40" s="32">
        <f>B40*Data!B33</f>
        <v>0</v>
      </c>
      <c r="E40" s="27">
        <v>3.25</v>
      </c>
      <c r="F40" s="28">
        <f>Calcul!$B40*Calcul!$E40</f>
        <v>0</v>
      </c>
      <c r="G40" s="67">
        <f>(D40/Data!D14)/100</f>
        <v>0</v>
      </c>
      <c r="I40" t="s">
        <v>28</v>
      </c>
      <c r="J40">
        <f>E13*(M13+TableauDeBord!D35)</f>
        <v>12</v>
      </c>
      <c r="O40" s="3"/>
    </row>
    <row r="41" spans="1:15" ht="15.75" customHeight="1">
      <c r="A41" s="38"/>
      <c r="B41" s="39"/>
      <c r="C41" s="12" t="s">
        <v>91</v>
      </c>
      <c r="D41" s="32">
        <f>B40*Data!B31</f>
        <v>0</v>
      </c>
      <c r="E41" s="40"/>
      <c r="F41" s="41"/>
      <c r="G41" s="68">
        <f>(D41/Data!B12)/2</f>
        <v>0</v>
      </c>
      <c r="I41" t="s">
        <v>30</v>
      </c>
      <c r="J41">
        <f>E14*(M14+TableauDeBord!F35)</f>
        <v>4</v>
      </c>
      <c r="O41" s="3"/>
    </row>
    <row r="42" spans="1:15" ht="15.75" customHeight="1">
      <c r="A42" s="38"/>
      <c r="B42" s="39"/>
      <c r="C42" s="12" t="s">
        <v>92</v>
      </c>
      <c r="D42" s="32">
        <f>B40*Data!B32</f>
        <v>0</v>
      </c>
      <c r="E42" s="40"/>
      <c r="F42" s="41"/>
      <c r="G42" s="67">
        <f>ROUNDUP(D42/Data!C13,0)/3</f>
        <v>0</v>
      </c>
      <c r="I42" t="s">
        <v>32</v>
      </c>
      <c r="J42">
        <f>E15*(M15+TableauDeBord!H35)</f>
        <v>18</v>
      </c>
      <c r="O42" s="3"/>
    </row>
    <row r="43" spans="1:15" ht="15.75" customHeight="1">
      <c r="A43" s="42"/>
      <c r="B43" s="30"/>
      <c r="C43" s="31" t="s">
        <v>89</v>
      </c>
      <c r="D43" s="36">
        <f>B40*Data!B37</f>
        <v>0</v>
      </c>
      <c r="E43" s="33"/>
      <c r="F43" s="34"/>
      <c r="G43" s="67">
        <f>ROUNDUP(D43/60,0)</f>
        <v>0</v>
      </c>
      <c r="I43" t="s">
        <v>34</v>
      </c>
      <c r="J43">
        <f>E16*(M16+Calcul!J35)</f>
        <v>18</v>
      </c>
      <c r="O43" s="3"/>
    </row>
    <row r="44" spans="1:15" ht="15.75" customHeight="1">
      <c r="A44" s="37" t="s">
        <v>93</v>
      </c>
      <c r="B44" s="24">
        <f>TableauDeBord!L8</f>
        <v>0</v>
      </c>
      <c r="C44" s="25" t="s">
        <v>88</v>
      </c>
      <c r="D44" s="32">
        <f>B44*Data!E33</f>
        <v>0</v>
      </c>
      <c r="E44" s="27">
        <v>4.25</v>
      </c>
      <c r="F44" s="28">
        <f>Calcul!$B44*Calcul!$E44</f>
        <v>0</v>
      </c>
      <c r="G44" s="67">
        <f>(D44/Data!D14)/100</f>
        <v>0</v>
      </c>
      <c r="I44" t="s">
        <v>142</v>
      </c>
      <c r="J44">
        <f>SUM(J43,J42,J41,J40)-C8</f>
        <v>0</v>
      </c>
      <c r="O44" s="3"/>
    </row>
    <row r="45" spans="1:15" ht="15.75" customHeight="1">
      <c r="A45" s="38"/>
      <c r="B45" s="39"/>
      <c r="C45" s="12" t="s">
        <v>56</v>
      </c>
      <c r="D45" s="32">
        <f>B44*Data!E35</f>
        <v>0</v>
      </c>
      <c r="E45" s="40"/>
      <c r="F45" s="41"/>
      <c r="G45" s="67">
        <f>(D45/Data!C16)/3</f>
        <v>0</v>
      </c>
      <c r="O45" s="3"/>
    </row>
    <row r="46" spans="1:15" ht="15.75" customHeight="1">
      <c r="A46" s="38"/>
      <c r="B46" s="39"/>
      <c r="C46" s="12" t="s">
        <v>92</v>
      </c>
      <c r="D46" s="32">
        <f>B44*Data!E32</f>
        <v>0</v>
      </c>
      <c r="E46" s="40"/>
      <c r="F46" s="41"/>
      <c r="G46" s="67">
        <f>D46/Data!C13</f>
        <v>0</v>
      </c>
      <c r="O46" s="3"/>
    </row>
    <row r="47" spans="1:15" ht="15.75" customHeight="1">
      <c r="A47" s="38"/>
      <c r="B47" s="39"/>
      <c r="C47" s="12" t="s">
        <v>85</v>
      </c>
      <c r="D47" s="32">
        <f>B44*Data!E38</f>
        <v>0</v>
      </c>
      <c r="E47" s="40"/>
      <c r="F47" s="41"/>
      <c r="G47" s="67">
        <f>ROUNDUP(D47/50,0)</f>
        <v>0</v>
      </c>
      <c r="I47" s="81"/>
      <c r="J47" s="81"/>
      <c r="K47" s="81"/>
      <c r="O47" s="3"/>
    </row>
    <row r="48" spans="1:15" ht="15.75" customHeight="1">
      <c r="A48" s="60"/>
      <c r="B48" s="61"/>
      <c r="C48" s="62"/>
      <c r="D48" s="63"/>
      <c r="E48" s="64"/>
      <c r="F48" s="65">
        <f>SUM(F34,F36,F38,F40,F44)</f>
        <v>0</v>
      </c>
      <c r="G48" s="66"/>
      <c r="I48" s="81"/>
      <c r="J48" s="81"/>
      <c r="K48" s="81"/>
      <c r="O48" s="3"/>
    </row>
    <row r="49" spans="13:17" ht="15.75" customHeight="1">
      <c r="M49" s="69"/>
      <c r="N49" s="69"/>
      <c r="O49" s="70"/>
      <c r="P49" s="69"/>
      <c r="Q49" s="69"/>
    </row>
    <row r="50" spans="13:17" ht="15.75" customHeight="1">
      <c r="M50" s="69"/>
      <c r="N50" s="69"/>
      <c r="O50" s="70"/>
      <c r="P50" s="69"/>
      <c r="Q50" s="69"/>
    </row>
    <row r="51" spans="13:17" ht="15.75" customHeight="1">
      <c r="M51" s="69"/>
      <c r="N51" s="69"/>
      <c r="O51" s="70"/>
      <c r="P51" s="69"/>
      <c r="Q51" s="69"/>
    </row>
    <row r="52" spans="13:17" ht="15.75" customHeight="1">
      <c r="M52" s="69"/>
      <c r="N52" s="69"/>
      <c r="O52" s="70"/>
      <c r="P52" s="69"/>
      <c r="Q52" s="69"/>
    </row>
    <row r="53" spans="13:17" ht="15.75" customHeight="1">
      <c r="M53" s="69"/>
      <c r="N53" s="69"/>
      <c r="O53" s="70"/>
      <c r="P53" s="69"/>
      <c r="Q53" s="69"/>
    </row>
    <row r="54" spans="13:17" ht="15.75" customHeight="1">
      <c r="M54" s="69"/>
      <c r="N54" s="69"/>
      <c r="O54" s="70"/>
      <c r="P54" s="69"/>
      <c r="Q54" s="69"/>
    </row>
    <row r="55" spans="13:17" ht="15.75" customHeight="1">
      <c r="M55" s="69"/>
      <c r="N55" s="69"/>
      <c r="O55" s="70"/>
      <c r="P55" s="69"/>
      <c r="Q55" s="69"/>
    </row>
    <row r="56" spans="13:17" ht="15.75" customHeight="1">
      <c r="M56" s="69"/>
      <c r="N56" s="69"/>
      <c r="O56" s="70"/>
      <c r="P56" s="69"/>
      <c r="Q56" s="69"/>
    </row>
    <row r="57" spans="13:17" ht="15.75" customHeight="1">
      <c r="M57" s="69"/>
      <c r="N57" s="69"/>
      <c r="O57" s="70"/>
      <c r="P57" s="69"/>
      <c r="Q57" s="69"/>
    </row>
    <row r="58" spans="13:17" ht="15.75" customHeight="1">
      <c r="M58" s="69"/>
      <c r="N58" s="69"/>
      <c r="O58" s="70"/>
      <c r="P58" s="69"/>
      <c r="Q58" s="69"/>
    </row>
    <row r="59" spans="13:17" ht="15.75" customHeight="1">
      <c r="M59" s="69"/>
      <c r="N59" s="69"/>
      <c r="O59" s="70"/>
      <c r="P59" s="69"/>
      <c r="Q59" s="69"/>
    </row>
    <row r="60" spans="13:17" ht="15.75" customHeight="1">
      <c r="M60" s="69"/>
      <c r="N60" s="69"/>
      <c r="O60" s="70"/>
      <c r="P60" s="69"/>
      <c r="Q60" s="69"/>
    </row>
    <row r="61" spans="13:17" ht="15.75" customHeight="1">
      <c r="M61" s="69"/>
      <c r="N61" s="69"/>
      <c r="O61" s="70"/>
      <c r="P61" s="69"/>
      <c r="Q61" s="69"/>
    </row>
    <row r="62" spans="13:17" ht="19.5" customHeight="1">
      <c r="M62" s="69"/>
      <c r="N62" s="69"/>
      <c r="O62" s="70"/>
      <c r="P62" s="69"/>
      <c r="Q62" s="69"/>
    </row>
    <row r="63" spans="13:17" ht="15.75" customHeight="1">
      <c r="M63" s="69"/>
      <c r="N63" s="69"/>
      <c r="O63" s="70"/>
      <c r="P63" s="69"/>
      <c r="Q63" s="69"/>
    </row>
    <row r="64" spans="13:17" ht="15.75" customHeight="1">
      <c r="M64" s="69"/>
      <c r="N64" s="69"/>
      <c r="O64" s="70"/>
      <c r="P64" s="69"/>
      <c r="Q64" s="69"/>
    </row>
    <row r="65" spans="1:17" ht="15.75" customHeight="1">
      <c r="M65" s="69"/>
      <c r="N65" s="69"/>
      <c r="O65" s="70"/>
      <c r="P65" s="69"/>
      <c r="Q65" s="69"/>
    </row>
    <row r="66" spans="1:17" ht="15.75" customHeight="1">
      <c r="A66" s="69"/>
      <c r="B66" s="69"/>
      <c r="C66" s="69"/>
      <c r="D66" s="69"/>
      <c r="E66" s="69"/>
      <c r="F66" s="69"/>
      <c r="G66" s="69"/>
      <c r="H66" s="69"/>
      <c r="I66" s="69"/>
      <c r="J66" s="69"/>
      <c r="K66" s="69"/>
      <c r="L66" s="69"/>
      <c r="M66" s="69"/>
      <c r="N66" s="69"/>
      <c r="O66" s="70"/>
      <c r="P66" s="69"/>
      <c r="Q66" s="69"/>
    </row>
    <row r="67" spans="1:17" ht="15.75" customHeight="1">
      <c r="A67" s="70"/>
      <c r="B67" s="70"/>
      <c r="C67" s="70"/>
      <c r="D67" s="70"/>
      <c r="E67" s="70"/>
      <c r="F67" s="70"/>
      <c r="G67" s="70"/>
      <c r="H67" s="70"/>
      <c r="I67" s="70"/>
      <c r="J67" s="70"/>
      <c r="K67" s="70"/>
      <c r="L67" s="70"/>
      <c r="M67" s="70"/>
      <c r="N67" s="70"/>
      <c r="O67" s="70"/>
    </row>
    <row r="68" spans="1:17" ht="15.75" customHeight="1">
      <c r="A68" s="70"/>
      <c r="B68" s="70"/>
      <c r="C68" s="70"/>
      <c r="D68" s="70"/>
      <c r="E68" s="70"/>
      <c r="F68" s="70"/>
      <c r="G68" s="70"/>
      <c r="H68" s="70"/>
      <c r="I68" s="70"/>
      <c r="J68" s="70"/>
      <c r="K68" s="70"/>
      <c r="L68" s="70"/>
      <c r="M68" s="70"/>
      <c r="N68" s="70"/>
      <c r="O68" s="70"/>
    </row>
    <row r="69" spans="1:17" ht="15.75" customHeight="1">
      <c r="A69" s="69"/>
      <c r="B69" s="69"/>
      <c r="C69" s="69"/>
      <c r="D69" s="69"/>
      <c r="E69" s="69"/>
      <c r="F69" s="69"/>
      <c r="G69" s="69"/>
      <c r="H69" s="69"/>
      <c r="I69" s="69"/>
      <c r="J69" s="69"/>
      <c r="K69" s="69"/>
      <c r="L69" s="69"/>
      <c r="M69" s="69"/>
      <c r="N69" s="69"/>
      <c r="O69" s="69"/>
    </row>
    <row r="70" spans="1:17" ht="15.75" customHeight="1">
      <c r="A70" s="69"/>
      <c r="B70" s="69"/>
      <c r="C70" s="69"/>
      <c r="D70" s="69"/>
      <c r="E70" s="69"/>
      <c r="F70" s="69"/>
      <c r="G70" s="69"/>
      <c r="H70" s="69"/>
      <c r="I70" s="69"/>
      <c r="J70" s="69"/>
      <c r="K70" s="69"/>
      <c r="L70" s="69"/>
      <c r="M70" s="69"/>
      <c r="N70" s="69"/>
      <c r="O70" s="69"/>
    </row>
    <row r="71" spans="1:17" ht="15.75" customHeight="1"/>
    <row r="72" spans="1:17" ht="15.75" customHeight="1"/>
    <row r="73" spans="1:17" ht="15.75" customHeight="1"/>
    <row r="74" spans="1:17" ht="15.75" customHeight="1"/>
    <row r="75" spans="1:17" ht="15.75" customHeight="1"/>
    <row r="76" spans="1:17" ht="15.75" customHeight="1"/>
    <row r="77" spans="1:17" ht="15.75" customHeight="1"/>
    <row r="78" spans="1:17" ht="15.75" customHeight="1"/>
    <row r="79" spans="1:17" ht="15.75" customHeight="1"/>
    <row r="80" spans="1:17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honeticPr fontId="12" type="noConversion"/>
  <conditionalFormatting sqref="U9">
    <cfRule type="cellIs" dxfId="6" priority="1" operator="lessThan">
      <formula>50</formula>
    </cfRule>
  </conditionalFormatting>
  <conditionalFormatting sqref="U9">
    <cfRule type="cellIs" dxfId="5" priority="2" operator="greaterThan">
      <formula>50</formula>
    </cfRule>
  </conditionalFormatting>
  <conditionalFormatting sqref="S12:S17">
    <cfRule type="cellIs" dxfId="4" priority="3" operator="greaterThan">
      <formula>50</formula>
    </cfRule>
  </conditionalFormatting>
  <conditionalFormatting sqref="Q9:T9">
    <cfRule type="cellIs" dxfId="3" priority="4" operator="lessThan">
      <formula>25</formula>
    </cfRule>
  </conditionalFormatting>
  <conditionalFormatting sqref="R9:T9">
    <cfRule type="cellIs" dxfId="2" priority="5" operator="lessThan">
      <formula>25</formula>
    </cfRule>
  </conditionalFormatting>
  <conditionalFormatting sqref="Q9:T9">
    <cfRule type="cellIs" dxfId="1" priority="6" operator="greaterThan">
      <formula>50</formula>
    </cfRule>
  </conditionalFormatting>
  <pageMargins left="0.7" right="0.7" top="0.75" bottom="0.75" header="0" footer="0"/>
  <pageSetup paperSize="9" orientation="portrait"/>
  <tableParts count="15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C4:W1000"/>
  <sheetViews>
    <sheetView tabSelected="1" topLeftCell="A16" zoomScaleNormal="100" workbookViewId="0">
      <selection activeCell="H15" sqref="H15"/>
    </sheetView>
  </sheetViews>
  <sheetFormatPr baseColWidth="10" defaultColWidth="14.42578125" defaultRowHeight="15" customHeight="1"/>
  <cols>
    <col min="1" max="7" width="10.7109375" customWidth="1"/>
    <col min="8" max="8" width="14.140625" customWidth="1"/>
    <col min="9" max="14" width="10.7109375" customWidth="1"/>
    <col min="15" max="15" width="19.28515625" customWidth="1"/>
    <col min="16" max="16" width="17.7109375" customWidth="1"/>
    <col min="17" max="17" width="10.7109375" customWidth="1"/>
    <col min="18" max="18" width="10.28515625" customWidth="1"/>
    <col min="19" max="19" width="20.28515625" customWidth="1"/>
    <col min="20" max="20" width="20.140625" customWidth="1"/>
    <col min="21" max="21" width="17.42578125" customWidth="1"/>
    <col min="22" max="22" width="16.140625" customWidth="1"/>
    <col min="23" max="23" width="18.28515625" customWidth="1"/>
    <col min="24" max="26" width="10.7109375" customWidth="1"/>
  </cols>
  <sheetData>
    <row r="4" spans="3:17"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</row>
    <row r="5" spans="3:17">
      <c r="C5" s="44" t="s">
        <v>94</v>
      </c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</row>
    <row r="6" spans="3:17">
      <c r="C6" s="43"/>
      <c r="D6" s="45" t="s">
        <v>95</v>
      </c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  <c r="Q6" s="43"/>
    </row>
    <row r="7" spans="3:17">
      <c r="C7" s="43"/>
      <c r="D7" s="47" t="s">
        <v>96</v>
      </c>
      <c r="E7" s="43"/>
      <c r="F7" s="47" t="s">
        <v>97</v>
      </c>
      <c r="G7" s="43"/>
      <c r="H7" s="47" t="s">
        <v>98</v>
      </c>
      <c r="I7" s="43"/>
      <c r="J7" s="47" t="s">
        <v>99</v>
      </c>
      <c r="K7" s="43"/>
      <c r="L7" s="47" t="s">
        <v>100</v>
      </c>
      <c r="M7" s="43"/>
      <c r="N7" s="43"/>
      <c r="O7" s="43"/>
      <c r="P7" s="43"/>
      <c r="Q7" s="43"/>
    </row>
    <row r="8" spans="3:17">
      <c r="C8" s="43"/>
      <c r="D8" s="48">
        <v>0</v>
      </c>
      <c r="E8" s="46"/>
      <c r="F8" s="49">
        <v>0</v>
      </c>
      <c r="G8" s="46"/>
      <c r="H8" s="49">
        <v>0</v>
      </c>
      <c r="I8" s="46"/>
      <c r="J8" s="49">
        <v>0</v>
      </c>
      <c r="K8" s="46"/>
      <c r="L8" s="49">
        <v>0</v>
      </c>
      <c r="M8" s="46"/>
      <c r="N8" s="46"/>
      <c r="Q8" s="43"/>
    </row>
    <row r="9" spans="3:17">
      <c r="C9" s="43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Q9" s="43"/>
    </row>
    <row r="10" spans="3:17">
      <c r="C10" s="43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Q10" s="43"/>
    </row>
    <row r="11" spans="3:17">
      <c r="C11" s="43"/>
      <c r="I11" s="46"/>
      <c r="J11" s="46"/>
      <c r="K11" s="46"/>
      <c r="L11" s="46"/>
      <c r="M11" s="46"/>
      <c r="N11" s="46"/>
      <c r="Q11" s="43"/>
    </row>
    <row r="12" spans="3:17">
      <c r="C12" s="43"/>
      <c r="N12" s="46"/>
      <c r="Q12" s="43"/>
    </row>
    <row r="13" spans="3:17">
      <c r="C13" s="43"/>
      <c r="Q13" s="43"/>
    </row>
    <row r="14" spans="3:17">
      <c r="C14" s="43"/>
      <c r="Q14" s="43"/>
    </row>
    <row r="15" spans="3:17">
      <c r="C15" s="43"/>
      <c r="N15" s="46"/>
      <c r="O15" s="46"/>
      <c r="P15" s="46"/>
      <c r="Q15" s="43"/>
    </row>
    <row r="16" spans="3:17">
      <c r="C16" s="43"/>
      <c r="N16" s="75"/>
      <c r="O16" s="46"/>
      <c r="P16" s="46"/>
      <c r="Q16" s="43"/>
    </row>
    <row r="17" spans="3:17">
      <c r="C17" s="43"/>
      <c r="D17" s="45" t="s">
        <v>101</v>
      </c>
      <c r="E17" s="46"/>
      <c r="F17" s="46"/>
      <c r="G17" s="46"/>
      <c r="H17" s="46"/>
      <c r="I17" s="46"/>
      <c r="J17" s="46"/>
      <c r="K17" s="46"/>
      <c r="L17" s="46"/>
      <c r="M17" s="46"/>
      <c r="N17" s="46"/>
      <c r="Q17" s="43"/>
    </row>
    <row r="18" spans="3:17">
      <c r="C18" s="43"/>
      <c r="D18" s="47" t="s">
        <v>63</v>
      </c>
      <c r="E18" s="43"/>
      <c r="F18" s="47" t="s">
        <v>64</v>
      </c>
      <c r="G18" s="43"/>
      <c r="H18" s="47" t="s">
        <v>65</v>
      </c>
      <c r="I18" s="43"/>
      <c r="J18" s="47" t="s">
        <v>102</v>
      </c>
      <c r="K18" s="43"/>
      <c r="L18" s="47" t="s">
        <v>68</v>
      </c>
      <c r="M18" s="43"/>
      <c r="N18" s="80"/>
      <c r="O18" s="47" t="s">
        <v>103</v>
      </c>
      <c r="P18" s="47" t="s">
        <v>104</v>
      </c>
      <c r="Q18" s="43"/>
    </row>
    <row r="19" spans="3:17">
      <c r="C19" s="43"/>
      <c r="D19" s="50">
        <f>Calcul!Q23</f>
        <v>0</v>
      </c>
      <c r="E19" s="46"/>
      <c r="F19" s="50">
        <f>Calcul!Q24</f>
        <v>0</v>
      </c>
      <c r="G19" s="46"/>
      <c r="H19" s="50">
        <f>Calcul!Q25</f>
        <v>0</v>
      </c>
      <c r="I19" s="46"/>
      <c r="J19" s="50">
        <f>Calcul!Q26</f>
        <v>0</v>
      </c>
      <c r="K19" s="46"/>
      <c r="L19" s="50">
        <f>Calcul!Q27</f>
        <v>0</v>
      </c>
      <c r="M19" s="46"/>
      <c r="N19" s="46"/>
      <c r="O19" s="51">
        <f>Calcul!S26</f>
        <v>299800</v>
      </c>
      <c r="P19" s="52">
        <f>Calcul!S27</f>
        <v>0</v>
      </c>
      <c r="Q19" s="43"/>
    </row>
    <row r="20" spans="3:17">
      <c r="C20" s="43"/>
      <c r="D20" s="46"/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46"/>
      <c r="P20" s="46"/>
      <c r="Q20" s="43"/>
    </row>
    <row r="21" spans="3:17" ht="15.75" customHeight="1">
      <c r="C21" s="43"/>
      <c r="D21" s="45" t="s">
        <v>105</v>
      </c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46"/>
      <c r="P21" s="46"/>
      <c r="Q21" s="43"/>
    </row>
    <row r="22" spans="3:17" ht="15.75" customHeight="1">
      <c r="C22" s="43"/>
      <c r="D22" s="53" t="s">
        <v>54</v>
      </c>
      <c r="E22" s="54"/>
      <c r="F22" s="53" t="s">
        <v>106</v>
      </c>
      <c r="G22" s="54"/>
      <c r="H22" s="53" t="s">
        <v>107</v>
      </c>
      <c r="I22" s="54"/>
      <c r="J22" s="53" t="s">
        <v>108</v>
      </c>
      <c r="K22" s="54"/>
      <c r="L22" s="53" t="s">
        <v>109</v>
      </c>
      <c r="M22" s="54"/>
      <c r="N22" s="53" t="s">
        <v>110</v>
      </c>
      <c r="O22" s="54"/>
      <c r="P22" s="54"/>
      <c r="Q22" s="43"/>
    </row>
    <row r="23" spans="3:17" ht="15.75" customHeight="1">
      <c r="C23" s="43"/>
      <c r="D23" s="55" t="e">
        <f>Calcul!S12</f>
        <v>#DIV/0!</v>
      </c>
      <c r="E23" s="46"/>
      <c r="F23" s="56" t="e">
        <f>Calcul!S15</f>
        <v>#DIV/0!</v>
      </c>
      <c r="G23" s="46"/>
      <c r="H23" s="56" t="e">
        <f>Calcul!S17</f>
        <v>#DIV/0!</v>
      </c>
      <c r="I23" s="46"/>
      <c r="J23" s="56" t="e">
        <f>Calcul!S14</f>
        <v>#DIV/0!</v>
      </c>
      <c r="K23" s="46"/>
      <c r="L23" s="56" t="e">
        <f>Calcul!S16</f>
        <v>#DIV/0!</v>
      </c>
      <c r="M23" s="46"/>
      <c r="N23" s="56" t="e">
        <f>Calcul!S13</f>
        <v>#DIV/0!</v>
      </c>
      <c r="O23" s="46"/>
      <c r="P23" s="46"/>
      <c r="Q23" s="43"/>
    </row>
    <row r="24" spans="3:17" ht="15.75" customHeight="1">
      <c r="C24" s="43"/>
      <c r="Q24" s="43"/>
    </row>
    <row r="25" spans="3:17" ht="15.75" customHeight="1">
      <c r="C25" s="43"/>
      <c r="D25" s="45" t="s">
        <v>111</v>
      </c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6"/>
      <c r="Q25" s="43"/>
    </row>
    <row r="26" spans="3:17" ht="15.75" customHeight="1">
      <c r="C26" s="43"/>
      <c r="D26" s="47" t="s">
        <v>27</v>
      </c>
      <c r="E26" s="43"/>
      <c r="F26" s="47" t="s">
        <v>45</v>
      </c>
      <c r="G26" s="43"/>
      <c r="H26" s="47" t="s">
        <v>31</v>
      </c>
      <c r="I26" s="43"/>
      <c r="J26" s="47" t="s">
        <v>46</v>
      </c>
      <c r="K26" s="43"/>
      <c r="L26" s="47" t="s">
        <v>35</v>
      </c>
      <c r="M26" s="43"/>
      <c r="N26" s="43"/>
      <c r="O26" s="43"/>
      <c r="P26" s="43"/>
      <c r="Q26" s="43"/>
    </row>
    <row r="27" spans="3:17" ht="15.75" customHeight="1">
      <c r="C27" s="43"/>
      <c r="D27" s="50">
        <f>Calcul!Q9</f>
        <v>0</v>
      </c>
      <c r="E27" s="46"/>
      <c r="F27" s="50">
        <f>Calcul!R9</f>
        <v>0</v>
      </c>
      <c r="G27" s="46"/>
      <c r="H27" s="50">
        <f>Calcul!S9</f>
        <v>0</v>
      </c>
      <c r="I27" s="46"/>
      <c r="J27" s="50">
        <f>Calcul!T9</f>
        <v>0</v>
      </c>
      <c r="K27" s="46"/>
      <c r="L27" s="50">
        <f>Calcul!U9</f>
        <v>0</v>
      </c>
      <c r="M27" s="46"/>
      <c r="N27" s="46"/>
      <c r="O27" s="46"/>
      <c r="P27" s="46"/>
      <c r="Q27" s="43"/>
    </row>
    <row r="28" spans="3:17" ht="15.75" customHeight="1">
      <c r="C28" s="43"/>
      <c r="Q28" s="43"/>
    </row>
    <row r="29" spans="3:17" ht="15.75" customHeight="1">
      <c r="C29" s="43"/>
      <c r="D29" s="45" t="s">
        <v>112</v>
      </c>
      <c r="E29" s="46"/>
      <c r="F29" s="46"/>
      <c r="G29" s="46"/>
      <c r="H29" s="46"/>
      <c r="I29" s="46"/>
      <c r="J29" s="46"/>
      <c r="K29" s="46"/>
      <c r="L29" s="46"/>
      <c r="M29" s="46"/>
      <c r="N29" s="46"/>
      <c r="O29" s="46"/>
      <c r="P29" s="46"/>
      <c r="Q29" s="43"/>
    </row>
    <row r="30" spans="3:17" ht="15.75" customHeight="1">
      <c r="C30" s="43"/>
      <c r="D30" s="47" t="s">
        <v>113</v>
      </c>
      <c r="E30" s="43"/>
      <c r="F30" s="47" t="s">
        <v>114</v>
      </c>
      <c r="G30" s="43"/>
      <c r="H30" s="43"/>
      <c r="I30" s="43"/>
      <c r="J30" s="43"/>
      <c r="K30" s="43"/>
      <c r="L30" s="43"/>
      <c r="M30" s="43"/>
      <c r="N30" s="47" t="s">
        <v>13</v>
      </c>
      <c r="O30" s="43"/>
      <c r="P30" s="43"/>
      <c r="Q30" s="43"/>
    </row>
    <row r="31" spans="3:17" ht="15.75" customHeight="1">
      <c r="C31" s="43"/>
      <c r="D31" s="48">
        <f>Calcul!C9</f>
        <v>83</v>
      </c>
      <c r="E31" s="46"/>
      <c r="F31" s="48">
        <f>Calcul!D9</f>
        <v>170800</v>
      </c>
      <c r="G31" s="46"/>
      <c r="H31" s="46"/>
      <c r="I31" s="46"/>
      <c r="J31" s="46"/>
      <c r="K31" s="46"/>
      <c r="L31" s="46"/>
      <c r="M31" s="46"/>
      <c r="N31" s="49">
        <v>0</v>
      </c>
      <c r="O31" s="46"/>
      <c r="P31" s="46"/>
      <c r="Q31" s="43"/>
    </row>
    <row r="32" spans="3:17" ht="15.75" customHeight="1">
      <c r="C32" s="43"/>
      <c r="Q32" s="71"/>
    </row>
    <row r="33" spans="3:23" ht="15.75" customHeight="1">
      <c r="C33" s="43"/>
      <c r="D33" s="46" t="s">
        <v>136</v>
      </c>
      <c r="E33" s="46"/>
      <c r="F33" s="46"/>
      <c r="G33" s="46"/>
      <c r="H33" s="46"/>
      <c r="I33" s="46"/>
      <c r="J33" s="46"/>
      <c r="K33" s="46"/>
      <c r="L33" s="46"/>
      <c r="M33" s="46"/>
      <c r="N33" s="46"/>
      <c r="O33" s="46"/>
      <c r="P33" s="46"/>
      <c r="Q33" s="43"/>
    </row>
    <row r="34" spans="3:23" ht="15.75" customHeight="1">
      <c r="C34" s="71"/>
      <c r="D34" s="72" t="s">
        <v>27</v>
      </c>
      <c r="E34" s="72"/>
      <c r="F34" s="72" t="s">
        <v>45</v>
      </c>
      <c r="G34" s="72"/>
      <c r="H34" s="72" t="s">
        <v>31</v>
      </c>
      <c r="I34" s="72"/>
      <c r="J34" s="72" t="s">
        <v>46</v>
      </c>
      <c r="K34" s="72"/>
      <c r="L34" s="72" t="s">
        <v>35</v>
      </c>
      <c r="M34" s="72"/>
      <c r="N34" s="72"/>
      <c r="O34" s="72"/>
      <c r="P34" s="72"/>
      <c r="Q34" s="71"/>
    </row>
    <row r="35" spans="3:23" ht="15.75" customHeight="1">
      <c r="C35" s="72"/>
      <c r="D35" s="73">
        <v>0</v>
      </c>
      <c r="F35" s="73">
        <v>0</v>
      </c>
      <c r="H35" s="73">
        <v>0</v>
      </c>
      <c r="J35" s="73">
        <v>0</v>
      </c>
      <c r="L35" s="73">
        <f>Calcul!J37</f>
        <v>0</v>
      </c>
      <c r="Q35" s="72"/>
    </row>
    <row r="36" spans="3:23" ht="15.75" customHeight="1">
      <c r="C36" s="72"/>
      <c r="Q36" s="72"/>
    </row>
    <row r="37" spans="3:23" ht="15.75" customHeight="1">
      <c r="C37" s="72"/>
      <c r="Q37" s="72"/>
      <c r="S37" s="76" t="s">
        <v>93</v>
      </c>
      <c r="T37" s="76" t="s">
        <v>90</v>
      </c>
      <c r="U37" s="76" t="s">
        <v>130</v>
      </c>
      <c r="V37" s="76" t="s">
        <v>131</v>
      </c>
      <c r="W37" s="76" t="s">
        <v>129</v>
      </c>
    </row>
    <row r="38" spans="3:23" ht="15.75" customHeight="1">
      <c r="C38" s="72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72"/>
      <c r="S38" s="76" t="s">
        <v>56</v>
      </c>
      <c r="T38" s="77" t="s">
        <v>59</v>
      </c>
      <c r="U38" s="76" t="s">
        <v>54</v>
      </c>
      <c r="V38" s="76" t="s">
        <v>110</v>
      </c>
      <c r="W38" s="78" t="s">
        <v>59</v>
      </c>
    </row>
    <row r="39" spans="3:23" ht="15.75" customHeight="1">
      <c r="C39" s="72"/>
      <c r="D39" s="43"/>
      <c r="E39" s="43"/>
      <c r="F39" s="43"/>
      <c r="G39" s="43"/>
      <c r="H39" s="43"/>
      <c r="I39" s="43"/>
      <c r="J39" s="43"/>
      <c r="K39" s="43"/>
      <c r="L39" s="43"/>
      <c r="M39" s="74" t="s">
        <v>115</v>
      </c>
      <c r="N39" s="43"/>
      <c r="O39" s="57">
        <f>Calcul!S28-L35</f>
        <v>-299800</v>
      </c>
      <c r="P39" s="43"/>
      <c r="Q39" s="72"/>
      <c r="S39" s="77" t="s">
        <v>59</v>
      </c>
      <c r="T39" s="76" t="s">
        <v>57</v>
      </c>
      <c r="U39" s="76"/>
      <c r="V39" s="76"/>
      <c r="W39" s="76"/>
    </row>
    <row r="40" spans="3:23" ht="15.75" customHeight="1">
      <c r="C40" s="72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72"/>
      <c r="S40" s="77" t="s">
        <v>58</v>
      </c>
      <c r="T40" s="78" t="s">
        <v>58</v>
      </c>
      <c r="U40" s="76"/>
      <c r="V40" s="76"/>
      <c r="W40" s="76"/>
    </row>
    <row r="41" spans="3:23" ht="15.75" customHeight="1">
      <c r="S41" s="76"/>
      <c r="T41" s="79" t="s">
        <v>89</v>
      </c>
      <c r="U41" s="76"/>
      <c r="V41" s="76"/>
      <c r="W41" s="79" t="s">
        <v>89</v>
      </c>
    </row>
    <row r="42" spans="3:23" ht="15.75" customHeight="1">
      <c r="S42" s="79" t="s">
        <v>85</v>
      </c>
      <c r="T42" s="76"/>
      <c r="U42" s="79" t="s">
        <v>85</v>
      </c>
      <c r="V42" s="79" t="s">
        <v>85</v>
      </c>
      <c r="W42" s="76"/>
    </row>
    <row r="43" spans="3:23" ht="15.75" customHeight="1"/>
    <row r="44" spans="3:23" ht="15.75" customHeight="1"/>
    <row r="45" spans="3:23" ht="15.75" customHeight="1"/>
    <row r="46" spans="3:23" ht="15.75" customHeight="1"/>
    <row r="47" spans="3:23" ht="15.75" customHeight="1"/>
    <row r="48" spans="3:23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O39">
    <cfRule type="cellIs" dxfId="0" priority="2" operator="greaterThan">
      <formula>0</formula>
    </cfRule>
  </conditionalFormatting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eset">
                <anchor moveWithCells="1" sizeWithCells="1">
                  <from>
                    <xdr:col>10</xdr:col>
                    <xdr:colOff>95250</xdr:colOff>
                    <xdr:row>42</xdr:row>
                    <xdr:rowOff>123825</xdr:rowOff>
                  </from>
                  <to>
                    <xdr:col>11</xdr:col>
                    <xdr:colOff>704850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isirObjectif">
                <anchor moveWithCells="1" sizeWithCells="1">
                  <from>
                    <xdr:col>4</xdr:col>
                    <xdr:colOff>161925</xdr:colOff>
                    <xdr:row>42</xdr:row>
                    <xdr:rowOff>76200</xdr:rowOff>
                  </from>
                  <to>
                    <xdr:col>6</xdr:col>
                    <xdr:colOff>142875</xdr:colOff>
                    <xdr:row>44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AchatMachine">
                <anchor moveWithCells="1" sizeWithCells="1">
                  <from>
                    <xdr:col>7</xdr:col>
                    <xdr:colOff>19050</xdr:colOff>
                    <xdr:row>42</xdr:row>
                    <xdr:rowOff>95250</xdr:rowOff>
                  </from>
                  <to>
                    <xdr:col>9</xdr:col>
                    <xdr:colOff>28575</xdr:colOff>
                    <xdr:row>44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S1000"/>
  <sheetViews>
    <sheetView workbookViewId="0"/>
  </sheetViews>
  <sheetFormatPr baseColWidth="10" defaultColWidth="14.42578125" defaultRowHeight="15" customHeight="1"/>
  <cols>
    <col min="1" max="1" width="41.85546875" customWidth="1"/>
    <col min="2" max="2" width="26.140625" customWidth="1"/>
    <col min="3" max="5" width="10.7109375" customWidth="1"/>
    <col min="6" max="6" width="14.85546875" customWidth="1"/>
    <col min="7" max="26" width="10.7109375" customWidth="1"/>
  </cols>
  <sheetData>
    <row r="1" spans="1:8">
      <c r="A1" s="8"/>
      <c r="B1" s="8"/>
      <c r="C1" s="8"/>
      <c r="D1" s="8"/>
      <c r="E1" s="8"/>
      <c r="F1" s="8"/>
      <c r="G1" s="8"/>
      <c r="H1" s="8"/>
    </row>
    <row r="2" spans="1:8">
      <c r="A2" s="12" t="s">
        <v>116</v>
      </c>
      <c r="B2" s="12" t="s">
        <v>117</v>
      </c>
      <c r="C2" s="12" t="s">
        <v>118</v>
      </c>
      <c r="D2" s="12" t="s">
        <v>119</v>
      </c>
      <c r="E2" s="12" t="s">
        <v>120</v>
      </c>
      <c r="F2" s="12" t="s">
        <v>121</v>
      </c>
      <c r="G2" s="12" t="s">
        <v>122</v>
      </c>
      <c r="H2" s="12" t="s">
        <v>123</v>
      </c>
    </row>
    <row r="3" spans="1:8">
      <c r="A3" s="12" t="s">
        <v>117</v>
      </c>
      <c r="B3" s="12"/>
      <c r="C3" s="12">
        <v>15</v>
      </c>
      <c r="D3" s="12"/>
      <c r="E3" s="12"/>
      <c r="F3" s="12"/>
      <c r="G3" s="12"/>
      <c r="H3" s="12"/>
    </row>
    <row r="4" spans="1:8">
      <c r="A4" s="12" t="s">
        <v>118</v>
      </c>
      <c r="B4" s="12"/>
      <c r="C4" s="12"/>
      <c r="D4" s="12"/>
      <c r="E4" s="12"/>
      <c r="F4" s="12"/>
      <c r="G4" s="12"/>
      <c r="H4" s="12"/>
    </row>
    <row r="5" spans="1:8">
      <c r="A5" s="12" t="s">
        <v>119</v>
      </c>
      <c r="B5" s="12"/>
      <c r="C5" s="12">
        <v>15</v>
      </c>
      <c r="D5" s="12"/>
      <c r="E5" s="12"/>
      <c r="F5" s="12"/>
      <c r="G5" s="12"/>
      <c r="H5" s="12"/>
    </row>
    <row r="6" spans="1:8">
      <c r="A6" s="12" t="s">
        <v>120</v>
      </c>
      <c r="B6" s="12"/>
      <c r="C6" s="12">
        <v>15</v>
      </c>
      <c r="D6" s="12">
        <v>5</v>
      </c>
      <c r="E6" s="12"/>
      <c r="F6" s="12">
        <v>14</v>
      </c>
      <c r="G6" s="12"/>
      <c r="H6" s="12"/>
    </row>
    <row r="7" spans="1:8">
      <c r="A7" s="12" t="s">
        <v>121</v>
      </c>
      <c r="B7" s="12"/>
      <c r="C7" s="12"/>
      <c r="D7" s="12"/>
      <c r="E7" s="12"/>
      <c r="F7" s="12"/>
      <c r="G7" s="12"/>
      <c r="H7" s="12"/>
    </row>
    <row r="8" spans="1:8">
      <c r="A8" s="12" t="s">
        <v>122</v>
      </c>
      <c r="B8" s="12"/>
      <c r="C8" s="12">
        <v>15</v>
      </c>
      <c r="D8" s="12"/>
      <c r="E8" s="12"/>
      <c r="F8" s="12">
        <v>14</v>
      </c>
      <c r="G8" s="12"/>
      <c r="H8" s="12"/>
    </row>
    <row r="9" spans="1:8">
      <c r="A9" s="12" t="s">
        <v>123</v>
      </c>
      <c r="B9" s="12"/>
      <c r="C9" s="12">
        <v>15</v>
      </c>
      <c r="D9" s="12"/>
      <c r="E9" s="12"/>
      <c r="F9" s="12">
        <v>18</v>
      </c>
      <c r="G9" s="12">
        <v>5</v>
      </c>
      <c r="H9" s="12"/>
    </row>
    <row r="10" spans="1:8">
      <c r="A10" s="8"/>
      <c r="B10" s="8"/>
      <c r="C10" s="8"/>
      <c r="D10" s="8"/>
      <c r="E10" s="8"/>
      <c r="F10" s="8"/>
      <c r="G10" s="8"/>
      <c r="H10" s="8"/>
    </row>
    <row r="11" spans="1:8">
      <c r="A11" s="12" t="s">
        <v>22</v>
      </c>
      <c r="B11" s="12" t="s">
        <v>43</v>
      </c>
      <c r="C11" s="12" t="s">
        <v>47</v>
      </c>
      <c r="D11" s="12" t="s">
        <v>49</v>
      </c>
      <c r="E11" s="8"/>
      <c r="F11" s="8"/>
      <c r="G11" s="8"/>
      <c r="H11" s="8"/>
    </row>
    <row r="12" spans="1:8">
      <c r="A12" s="12" t="s">
        <v>57</v>
      </c>
      <c r="B12" s="12">
        <v>0.31</v>
      </c>
      <c r="C12" s="12"/>
      <c r="D12" s="12"/>
      <c r="E12" s="8"/>
      <c r="F12" s="8"/>
      <c r="G12" s="8"/>
      <c r="H12" s="8"/>
    </row>
    <row r="13" spans="1:8">
      <c r="A13" s="12" t="s">
        <v>58</v>
      </c>
      <c r="B13" s="12"/>
      <c r="C13" s="12">
        <v>0.54</v>
      </c>
      <c r="D13" s="12"/>
      <c r="E13" s="8"/>
      <c r="F13" s="8"/>
      <c r="G13" s="8"/>
      <c r="H13" s="8"/>
    </row>
    <row r="14" spans="1:8">
      <c r="A14" s="12" t="s">
        <v>59</v>
      </c>
      <c r="B14" s="12"/>
      <c r="C14" s="12"/>
      <c r="D14" s="12">
        <v>0.62</v>
      </c>
      <c r="E14" s="8"/>
      <c r="F14" s="8"/>
      <c r="G14" s="8"/>
      <c r="H14" s="8"/>
    </row>
    <row r="15" spans="1:8">
      <c r="A15" s="12" t="s">
        <v>54</v>
      </c>
      <c r="B15" s="12">
        <v>0.32</v>
      </c>
      <c r="C15" s="12"/>
      <c r="D15" s="12"/>
      <c r="E15" s="8"/>
      <c r="F15" s="8"/>
      <c r="G15" s="8"/>
      <c r="H15" s="8"/>
    </row>
    <row r="16" spans="1:8">
      <c r="A16" s="12" t="s">
        <v>124</v>
      </c>
      <c r="B16" s="12"/>
      <c r="C16" s="12">
        <v>0.14000000000000001</v>
      </c>
      <c r="D16" s="12"/>
      <c r="E16" s="8"/>
      <c r="F16" s="8"/>
      <c r="G16" s="8"/>
      <c r="H16" s="8"/>
    </row>
    <row r="17" spans="1:17">
      <c r="A17" s="12" t="s">
        <v>125</v>
      </c>
      <c r="B17" s="12"/>
      <c r="C17" s="12"/>
      <c r="D17" s="12">
        <v>0.15</v>
      </c>
      <c r="E17" s="8"/>
      <c r="F17" s="8"/>
      <c r="G17" s="8"/>
      <c r="H17" s="8"/>
    </row>
    <row r="18" spans="1:17">
      <c r="A18" s="12" t="s">
        <v>126</v>
      </c>
      <c r="B18" s="12">
        <f>1 - (B15 +B12)</f>
        <v>0.37</v>
      </c>
      <c r="C18" s="12">
        <f>1 -( C16+C13)</f>
        <v>0.31999999999999995</v>
      </c>
      <c r="D18" s="12">
        <f>1 -( D17+D14)</f>
        <v>0.22999999999999998</v>
      </c>
      <c r="E18" s="8"/>
      <c r="F18" s="8"/>
      <c r="G18" s="8"/>
      <c r="H18" s="8"/>
    </row>
    <row r="19" spans="1:17">
      <c r="A19" s="8"/>
      <c r="B19" s="8"/>
      <c r="C19" s="8"/>
      <c r="D19" s="8"/>
      <c r="E19" s="8"/>
      <c r="F19" s="8"/>
      <c r="G19" s="8"/>
      <c r="H19" s="8"/>
    </row>
    <row r="20" spans="1:17">
      <c r="A20" s="12" t="s">
        <v>127</v>
      </c>
      <c r="B20" s="12" t="s">
        <v>128</v>
      </c>
      <c r="C20" s="12" t="s">
        <v>129</v>
      </c>
      <c r="D20" s="12" t="s">
        <v>130</v>
      </c>
      <c r="E20" s="12" t="s">
        <v>93</v>
      </c>
      <c r="F20" s="12" t="s">
        <v>131</v>
      </c>
      <c r="G20" s="8"/>
      <c r="H20" s="8"/>
    </row>
    <row r="21" spans="1:17" ht="15.75" customHeight="1">
      <c r="A21" s="12" t="s">
        <v>57</v>
      </c>
      <c r="B21" s="12">
        <v>30</v>
      </c>
      <c r="C21" s="12"/>
      <c r="D21" s="12"/>
      <c r="E21" s="12"/>
      <c r="F21" s="12"/>
      <c r="G21" s="8"/>
      <c r="H21" s="8"/>
    </row>
    <row r="22" spans="1:17" ht="15.75" customHeight="1">
      <c r="A22" s="12" t="s">
        <v>58</v>
      </c>
      <c r="B22" s="12">
        <v>20</v>
      </c>
      <c r="C22" s="12"/>
      <c r="D22" s="12"/>
      <c r="E22" s="12">
        <v>42</v>
      </c>
      <c r="F22" s="12"/>
      <c r="G22" s="8"/>
      <c r="H22" s="8"/>
    </row>
    <row r="23" spans="1:17" ht="15.75" customHeight="1">
      <c r="A23" s="12" t="s">
        <v>59</v>
      </c>
      <c r="B23" s="12">
        <v>101</v>
      </c>
      <c r="C23" s="12">
        <v>94</v>
      </c>
      <c r="D23" s="12"/>
      <c r="E23" s="12">
        <v>80</v>
      </c>
      <c r="F23" s="12"/>
      <c r="G23" s="8"/>
      <c r="H23" s="8"/>
    </row>
    <row r="24" spans="1:17" ht="15.75" customHeight="1">
      <c r="A24" s="12" t="s">
        <v>54</v>
      </c>
      <c r="B24" s="12"/>
      <c r="C24" s="12"/>
      <c r="D24" s="12">
        <v>512</v>
      </c>
      <c r="E24" s="12"/>
      <c r="F24" s="12"/>
      <c r="G24" s="8"/>
      <c r="H24" s="8"/>
    </row>
    <row r="25" spans="1:17" ht="15.75" customHeight="1">
      <c r="A25" s="12" t="s">
        <v>124</v>
      </c>
      <c r="B25" s="12"/>
      <c r="C25" s="12"/>
      <c r="D25" s="12"/>
      <c r="E25" s="12">
        <v>45</v>
      </c>
      <c r="F25" s="12"/>
      <c r="G25" s="8"/>
      <c r="H25" s="8"/>
      <c r="Q25" s="4">
        <f>(Q37*2)*B15</f>
        <v>0</v>
      </c>
    </row>
    <row r="26" spans="1:17" ht="15.75" customHeight="1">
      <c r="A26" s="12" t="s">
        <v>125</v>
      </c>
      <c r="B26" s="12"/>
      <c r="C26" s="12"/>
      <c r="D26" s="12"/>
      <c r="E26" s="12"/>
      <c r="F26" s="12">
        <v>7500</v>
      </c>
      <c r="G26" s="8"/>
      <c r="H26" s="8"/>
      <c r="Q26" s="4">
        <f>(Q36*100)*D17</f>
        <v>0</v>
      </c>
    </row>
    <row r="27" spans="1:17" ht="15.75" customHeight="1">
      <c r="A27" s="12" t="s">
        <v>89</v>
      </c>
      <c r="B27" s="12"/>
      <c r="C27" s="12">
        <v>30</v>
      </c>
      <c r="D27" s="12"/>
      <c r="E27" s="12">
        <v>80</v>
      </c>
      <c r="F27" s="12"/>
      <c r="G27" s="8"/>
      <c r="H27" s="8"/>
    </row>
    <row r="28" spans="1:17" ht="15.75" customHeight="1">
      <c r="A28" s="12" t="s">
        <v>132</v>
      </c>
      <c r="B28" s="12">
        <v>56</v>
      </c>
      <c r="C28" s="12"/>
      <c r="D28" s="12">
        <v>64</v>
      </c>
      <c r="E28" s="12"/>
      <c r="F28" s="12">
        <v>122</v>
      </c>
      <c r="G28" s="8"/>
      <c r="H28" s="8"/>
    </row>
    <row r="29" spans="1:17" ht="15.75" customHeight="1"/>
    <row r="30" spans="1:17" ht="15.75" customHeight="1">
      <c r="A30" s="12" t="s">
        <v>127</v>
      </c>
      <c r="B30" s="12" t="s">
        <v>128</v>
      </c>
      <c r="C30" s="12" t="s">
        <v>129</v>
      </c>
      <c r="D30" s="12" t="s">
        <v>130</v>
      </c>
      <c r="E30" s="12" t="s">
        <v>93</v>
      </c>
      <c r="F30" s="12" t="s">
        <v>131</v>
      </c>
    </row>
    <row r="31" spans="1:17" ht="15.75" customHeight="1">
      <c r="A31" s="12" t="s">
        <v>57</v>
      </c>
      <c r="B31" s="12">
        <v>0.03</v>
      </c>
      <c r="C31" s="12"/>
      <c r="D31" s="12"/>
      <c r="E31" s="12"/>
      <c r="F31" s="12"/>
    </row>
    <row r="32" spans="1:17" ht="15.75" customHeight="1">
      <c r="A32" s="12" t="s">
        <v>58</v>
      </c>
      <c r="B32" s="12">
        <v>0.02</v>
      </c>
      <c r="C32" s="12"/>
      <c r="D32" s="12"/>
      <c r="E32" s="12">
        <v>4.2000000000000003E-2</v>
      </c>
      <c r="F32" s="12"/>
    </row>
    <row r="33" spans="1:6" ht="15.75" customHeight="1">
      <c r="A33" s="12" t="s">
        <v>59</v>
      </c>
      <c r="B33" s="12">
        <v>0.10100000000000001</v>
      </c>
      <c r="C33" s="12">
        <v>9.4E-2</v>
      </c>
      <c r="D33" s="12"/>
      <c r="E33" s="12">
        <v>0.08</v>
      </c>
      <c r="F33" s="12"/>
    </row>
    <row r="34" spans="1:6" ht="15.75" customHeight="1">
      <c r="A34" s="12" t="s">
        <v>54</v>
      </c>
      <c r="B34" s="12"/>
      <c r="C34" s="12"/>
      <c r="D34" s="12">
        <v>0.51200000000000001</v>
      </c>
      <c r="E34" s="12"/>
      <c r="F34" s="12"/>
    </row>
    <row r="35" spans="1:6" ht="15.75" customHeight="1">
      <c r="A35" s="12" t="s">
        <v>124</v>
      </c>
      <c r="B35" s="12"/>
      <c r="C35" s="12"/>
      <c r="D35" s="12"/>
      <c r="E35" s="12">
        <v>4.4999999999999998E-2</v>
      </c>
      <c r="F35" s="12"/>
    </row>
    <row r="36" spans="1:6" ht="15.75" customHeight="1">
      <c r="A36" s="12" t="s">
        <v>125</v>
      </c>
      <c r="B36" s="12"/>
      <c r="C36" s="12"/>
      <c r="D36" s="12"/>
      <c r="E36" s="12"/>
      <c r="F36" s="12">
        <v>7.5</v>
      </c>
    </row>
    <row r="37" spans="1:6" ht="15.75" customHeight="1">
      <c r="A37" s="12" t="s">
        <v>89</v>
      </c>
      <c r="B37" s="12">
        <v>0.08</v>
      </c>
      <c r="C37" s="12">
        <v>0.03</v>
      </c>
      <c r="D37" s="12"/>
      <c r="E37" s="1"/>
      <c r="F37" s="12"/>
    </row>
    <row r="38" spans="1:6" ht="15.75" customHeight="1">
      <c r="A38" s="12" t="s">
        <v>132</v>
      </c>
      <c r="B38" s="1"/>
      <c r="C38" s="12"/>
      <c r="D38" s="12">
        <v>6.4000000000000001E-2</v>
      </c>
      <c r="E38" s="12">
        <v>5.6000000000000001E-2</v>
      </c>
      <c r="F38" s="12">
        <v>0.122</v>
      </c>
    </row>
    <row r="39" spans="1:6" ht="15.75" customHeight="1"/>
    <row r="40" spans="1:6" ht="15.75" customHeight="1">
      <c r="A40" s="8"/>
      <c r="B40" s="8"/>
      <c r="C40" s="8"/>
      <c r="D40" s="8"/>
      <c r="E40" s="8"/>
    </row>
    <row r="41" spans="1:6" ht="15.75" customHeight="1">
      <c r="A41" s="12" t="s">
        <v>4</v>
      </c>
      <c r="B41" s="12" t="s">
        <v>28</v>
      </c>
      <c r="C41" s="12" t="s">
        <v>133</v>
      </c>
      <c r="D41" s="12" t="s">
        <v>32</v>
      </c>
      <c r="E41" s="12" t="s">
        <v>134</v>
      </c>
    </row>
    <row r="42" spans="1:6" ht="15.75" customHeight="1">
      <c r="A42" s="12" t="s">
        <v>43</v>
      </c>
      <c r="B42" s="58">
        <v>45000000</v>
      </c>
      <c r="C42" s="12"/>
      <c r="D42" s="12"/>
      <c r="E42" s="12"/>
    </row>
    <row r="43" spans="1:6" ht="15.75" customHeight="1">
      <c r="A43" s="12" t="s">
        <v>49</v>
      </c>
      <c r="B43" s="58">
        <v>50000000</v>
      </c>
      <c r="C43" s="12"/>
      <c r="D43" s="58"/>
      <c r="E43" s="12"/>
    </row>
    <row r="44" spans="1:6" ht="15.75" customHeight="1">
      <c r="A44" s="12" t="s">
        <v>47</v>
      </c>
      <c r="B44" s="58">
        <v>45000000</v>
      </c>
      <c r="C44" s="12"/>
      <c r="D44" s="58"/>
      <c r="E44" s="12"/>
    </row>
    <row r="45" spans="1:6" ht="15.75" customHeight="1">
      <c r="A45" s="12" t="s">
        <v>87</v>
      </c>
      <c r="B45" s="12"/>
      <c r="C45" s="12">
        <v>75000000</v>
      </c>
      <c r="D45" s="58">
        <v>54000000</v>
      </c>
      <c r="E45" s="59">
        <v>40000000</v>
      </c>
    </row>
    <row r="46" spans="1:6" ht="15.75" customHeight="1">
      <c r="A46" s="12" t="s">
        <v>93</v>
      </c>
      <c r="B46" s="12"/>
      <c r="C46" s="12">
        <v>75000000</v>
      </c>
      <c r="D46" s="58">
        <v>100000000</v>
      </c>
      <c r="E46" s="59">
        <v>40000000</v>
      </c>
    </row>
    <row r="47" spans="1:6" ht="15.75" customHeight="1">
      <c r="A47" s="12" t="s">
        <v>128</v>
      </c>
      <c r="B47" s="12"/>
      <c r="C47" s="12">
        <v>75000000</v>
      </c>
      <c r="D47" s="58">
        <v>45000000</v>
      </c>
      <c r="E47" s="59">
        <v>40000000</v>
      </c>
    </row>
    <row r="48" spans="1:6" ht="15.75" customHeight="1">
      <c r="A48" s="12" t="s">
        <v>131</v>
      </c>
      <c r="B48" s="12"/>
      <c r="C48" s="12"/>
      <c r="D48" s="58">
        <v>22500000</v>
      </c>
      <c r="E48" s="59">
        <v>40000000</v>
      </c>
    </row>
    <row r="49" spans="1:19" ht="15.75" customHeight="1">
      <c r="A49" s="58" t="s">
        <v>130</v>
      </c>
      <c r="B49" s="12"/>
      <c r="C49" s="12"/>
      <c r="D49" s="12"/>
      <c r="E49" s="59">
        <v>40000000</v>
      </c>
    </row>
    <row r="50" spans="1:19" ht="15.75" customHeight="1"/>
    <row r="51" spans="1:19" ht="15.75" customHeight="1"/>
    <row r="52" spans="1:19" ht="15.75" customHeight="1"/>
    <row r="53" spans="1:19" ht="15.75" customHeight="1"/>
    <row r="54" spans="1:19" ht="15.75" customHeight="1"/>
    <row r="55" spans="1:19" ht="15.75" customHeight="1"/>
    <row r="56" spans="1:19" ht="15.75" customHeight="1"/>
    <row r="57" spans="1:19" ht="15.75" customHeight="1">
      <c r="S57" s="4">
        <f>Q57*E33</f>
        <v>0</v>
      </c>
    </row>
    <row r="58" spans="1:19" ht="15.75" customHeight="1"/>
    <row r="59" spans="1:19" ht="15.75" customHeight="1">
      <c r="S59" s="4">
        <f>Q57*E32</f>
        <v>0</v>
      </c>
    </row>
    <row r="60" spans="1:19" ht="15.75" customHeight="1"/>
    <row r="61" spans="1:19" ht="15.75" customHeight="1"/>
    <row r="62" spans="1:19" ht="15.75" customHeight="1"/>
    <row r="63" spans="1:19" ht="15.75" customHeight="1"/>
    <row r="64" spans="1:19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landscape"/>
  <tableParts count="5">
    <tablePart r:id="rId1"/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Calcul</vt:lpstr>
      <vt:lpstr>TableauDeBord</vt:lpstr>
      <vt:lpstr>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Marouane MIHOUBI-ABBOU</dc:creator>
  <cp:lastModifiedBy>Maximilien CHAREUN</cp:lastModifiedBy>
  <dcterms:created xsi:type="dcterms:W3CDTF">2022-03-29T12:11:30Z</dcterms:created>
  <dcterms:modified xsi:type="dcterms:W3CDTF">2022-04-01T09:29:27Z</dcterms:modified>
</cp:coreProperties>
</file>